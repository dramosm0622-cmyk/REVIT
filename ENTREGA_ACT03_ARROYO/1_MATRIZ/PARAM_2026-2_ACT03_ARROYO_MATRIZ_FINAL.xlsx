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BJETOS" sheetId="1" state="visible" r:id="rId3"/>
    <sheet name="MATRIZ_FINAL" sheetId="2" state="visible" r:id="rId4"/>
    <sheet name="VALORES_POR_TIPO" sheetId="3" state="visible" r:id="rId5"/>
    <sheet name="ESTRATEGIA" sheetId="4" state="visible" r:id="rId6"/>
    <sheet name="AJUSTES_ACT1_ACT2" sheetId="5" state="visible" r:id="rId7"/>
    <sheet name="QA_QC" sheetId="6" state="visible" r:id="rId8"/>
  </sheets>
  <definedNames>
    <definedName function="false" hidden="true" localSheetId="1" name="_xlnm._FilterDatabase" vbProcedure="false">MATRIZ_FINAL!$A$4:$R$22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2" authorId="0">
      <text>
        <r>
          <rPr>
            <sz val="10"/>
            <rFont val="Arial"/>
            <family val="2"/>
          </rPr>
          <t xml:space="preserve">Valor tipico de lamina ASTM A1011 Gr.50. Verificar en el plano de cubierta.</t>
        </r>
      </text>
    </comment>
  </commentList>
</comments>
</file>

<file path=xl/sharedStrings.xml><?xml version="1.0" encoding="utf-8"?>
<sst xmlns="http://schemas.openxmlformats.org/spreadsheetml/2006/main" count="597" uniqueCount="354">
  <si>
    <t xml:space="preserve">ACTIVIDAD 3 - BIM PARAMETRIZACION | MATRIZ FINAL | HOJA 1: PACIENTE Y OBJETOS</t>
  </si>
  <si>
    <t xml:space="preserve">Paciente</t>
  </si>
  <si>
    <t xml:space="preserve">Vivienda unifamiliar campestre de dos niveles en ladera - Sector Canaveral, Turbaco (Bolivar). Proyecto P-892022 (Casa Campestre).</t>
  </si>
  <si>
    <t xml:space="preserve">Descripcion</t>
  </si>
  <si>
    <t xml:space="preserve">Dos niveles (N+0,00 / N+3,05 / cubierta N+6,05), porticos de concreto reforzado DMI, losa maciza, cubierta inclinada sobre perfileria PHR, zapatas aisladas con vigas de amarre. Grupo de uso I, NSR-10.</t>
  </si>
  <si>
    <t xml:space="preserve">Cadena de carga</t>
  </si>
  <si>
    <t xml:space="preserve">Perfil de cubierta -&gt; columna -&gt; viga de cimentacion -&gt; zapata. Los 4 objetos de la Actividad 1 se mantienen.</t>
  </si>
  <si>
    <t xml:space="preserve">Estandares</t>
  </si>
  <si>
    <t xml:space="preserve">ISO 19650 (gestion de informacion y nomenclatura), IFC 4 (clases de intercambio), Uniclass 2015 tabla EF, NSR-10 Titulos B y C.</t>
  </si>
  <si>
    <t xml:space="preserve">Autor</t>
  </si>
  <si>
    <t xml:space="preserve">Luis David Arroyo Anaya - Maestria en Patologia de la Construccion, Facultad de Ingenieria Civil, Universidad Santo Tomas.</t>
  </si>
  <si>
    <t xml:space="preserve">Colores en el modelo</t>
  </si>
  <si>
    <t xml:space="preserve">Zapatas gris, columnas azul, vigas de cimentacion verde, vigas aereas naranja, losa amarilla (transparente), correas rojo.</t>
  </si>
  <si>
    <t xml:space="preserve">N.</t>
  </si>
  <si>
    <t xml:space="preserve">Codigo</t>
  </si>
  <si>
    <t xml:space="preserve">Objeto BIM</t>
  </si>
  <si>
    <t xml:space="preserve">Categoria Revit</t>
  </si>
  <si>
    <t xml:space="preserve">Familia (archivo RVT)</t>
  </si>
  <si>
    <t xml:space="preserve">Tipos</t>
  </si>
  <si>
    <t xml:space="preserve">IFC 4</t>
  </si>
  <si>
    <t xml:space="preserve">Uniclass 2015</t>
  </si>
  <si>
    <t xml:space="preserve">Responsable (integrante)</t>
  </si>
  <si>
    <t xml:space="preserve">ZAP</t>
  </si>
  <si>
    <t xml:space="preserve">Zapata aislada de concreto reforzado</t>
  </si>
  <si>
    <t xml:space="preserve">Cimentacion estructural (Structural Foundations)</t>
  </si>
  <si>
    <t xml:space="preserve">P89_ZAP_Zapata_Aislada (cargable, basada en M_Zapata-Rectangular)</t>
  </si>
  <si>
    <t xml:space="preserve">Z-T1 1,30x1,30; Z-T2 1,60x1,60; Z-T3 1,70x1,70 (h = 0,35 m)</t>
  </si>
  <si>
    <t xml:space="preserve">IfcFooting.PAD_FOOTING</t>
  </si>
  <si>
    <t xml:space="preserve">EF_20_10</t>
  </si>
  <si>
    <t xml:space="preserve">Luis David Arroyo Anaya</t>
  </si>
  <si>
    <t xml:space="preserve">COL</t>
  </si>
  <si>
    <t xml:space="preserve">Columna de concreto reforzado</t>
  </si>
  <si>
    <t xml:space="preserve">Pilares estructurales (Structural Columns)</t>
  </si>
  <si>
    <t xml:space="preserve">P89_COL_Columna_Concreto (cargable, basada en M_Pilar de hormigon-Rectangular)</t>
  </si>
  <si>
    <t xml:space="preserve">C-30x30; C-25x40; C-40x25</t>
  </si>
  <si>
    <t xml:space="preserve">IfcColumn.COLUMN</t>
  </si>
  <si>
    <t xml:space="preserve">EF_25_10</t>
  </si>
  <si>
    <t xml:space="preserve">VCI</t>
  </si>
  <si>
    <t xml:space="preserve">Viga de cimentacion VC-TIPO</t>
  </si>
  <si>
    <t xml:space="preserve">Armazon estructural (Structural Framing)</t>
  </si>
  <si>
    <t xml:space="preserve">P89_VCI_Viga_Cimentacion (cargable, basada en M_Viga de hormigon-Rectangular)</t>
  </si>
  <si>
    <t xml:space="preserve">VC-TIPO 0,30x0,30</t>
  </si>
  <si>
    <t xml:space="preserve">IfcBeam.BEAM</t>
  </si>
  <si>
    <t xml:space="preserve">COR</t>
  </si>
  <si>
    <t xml:space="preserve">Perfil de cubierta PHR C 160x60x20</t>
  </si>
  <si>
    <t xml:space="preserve">Armazon estructural - correas (Structural Framing)</t>
  </si>
  <si>
    <t xml:space="preserve">P89_COR_Correa_PHR (cargable, familia propia; seccion rectangular equivalente 60x160 mm)</t>
  </si>
  <si>
    <t xml:space="preserve">PHR C 160x60x20 e = 1,50 mm</t>
  </si>
  <si>
    <t xml:space="preserve">IfcMember.PURLIN</t>
  </si>
  <si>
    <t xml:space="preserve">EF_30_10</t>
  </si>
  <si>
    <t xml:space="preserve">ELEMENTOS COMPLEMENTARIOS DEL MODELO (no son objetos evaluados: llevan solo los 5 parametros comunes PAC_ para mantener la consistencia)</t>
  </si>
  <si>
    <t xml:space="preserve">C1</t>
  </si>
  <si>
    <t xml:space="preserve">VIG</t>
  </si>
  <si>
    <t xml:space="preserve">Viga aerea de concreto (VG)</t>
  </si>
  <si>
    <t xml:space="preserve">P89_VIG_Viga_Aerea: VG-30x50, VG-20x50, VG-12x50</t>
  </si>
  <si>
    <t xml:space="preserve">-</t>
  </si>
  <si>
    <t xml:space="preserve">C2</t>
  </si>
  <si>
    <t xml:space="preserve">LOS</t>
  </si>
  <si>
    <t xml:space="preserve">Losa maciza de entrepiso N+3,05</t>
  </si>
  <si>
    <t xml:space="preserve">Suelos estructurales (Floors)</t>
  </si>
  <si>
    <t xml:space="preserve">Losa maciza P89 e=0,15 m</t>
  </si>
  <si>
    <t xml:space="preserve">IfcSlab.FLOOR</t>
  </si>
  <si>
    <t xml:space="preserve">EF_30_20</t>
  </si>
  <si>
    <t xml:space="preserve">HOJA 2: MATRIZ MAESTRA DE PARAMETROS IMPLEMENTADOS (fuente unica para el modelo y el Schedule)</t>
  </si>
  <si>
    <t xml:space="preserve">Leyenda: VERDE = comun a todos los objetos; NARANJA = particular del objeto; AZUL = parametro de proyecto. X = el parametro se aplica al objeto. El nombre y el GUID coinciden con el archivo PARAM_ACT03_ParametrosCompartidos.txt.</t>
  </si>
  <si>
    <t xml:space="preserve">Nombre en Revit</t>
  </si>
  <si>
    <t xml:space="preserve">Tipo de dato</t>
  </si>
  <si>
    <t xml:space="preserve">Unidad</t>
  </si>
  <si>
    <t xml:space="preserve">Tipo / Instancia</t>
  </si>
  <si>
    <t xml:space="preserve">Comun / Particular</t>
  </si>
  <si>
    <t xml:space="preserve">Clase de parametro</t>
  </si>
  <si>
    <t xml:space="preserve">Grupo en propiedades</t>
  </si>
  <si>
    <t xml:space="preserve">Formula</t>
  </si>
  <si>
    <t xml:space="preserve">GUID (compartido)</t>
  </si>
  <si>
    <t xml:space="preserve">Fuente</t>
  </si>
  <si>
    <t xml:space="preserve">Ajuste respecto a Act. 1 / Act. 2</t>
  </si>
  <si>
    <t xml:space="preserve">Verificado en Schedule (S/N)</t>
  </si>
  <si>
    <t xml:space="preserve">PAC_Codigo_Elemento</t>
  </si>
  <si>
    <t xml:space="preserve">Identificador unico del elemento colocado, nomenclatura OBJETO-TIPO-EJE (ej. ZAP-ZT1-1-B, COL-C30X30-6-D, VCI-VC-E-1/3, COR-PHR-01).</t>
  </si>
  <si>
    <t xml:space="preserve">Texto</t>
  </si>
  <si>
    <t xml:space="preserve">N/A</t>
  </si>
  <si>
    <t xml:space="preserve">Instancia</t>
  </si>
  <si>
    <t xml:space="preserve">Comun</t>
  </si>
  <si>
    <t xml:space="preserve">Compartido (Shared) vinculado como parametro de proyecto</t>
  </si>
  <si>
    <t xml:space="preserve">X</t>
  </si>
  <si>
    <t xml:space="preserve">Datos de identidad</t>
  </si>
  <si>
    <t xml:space="preserve">85472c8c-6490-518b-a29e-b885faa36d93</t>
  </si>
  <si>
    <t xml:space="preserve">Nomenclatura del grupo segun ISO 19650-2 (campos separados por guion)</t>
  </si>
  <si>
    <t xml:space="preserve">Se mantiene de la Act. 1. Instancia porque cada elemento colocado es unico.</t>
  </si>
  <si>
    <t xml:space="preserve">PAC_Material_Estructural</t>
  </si>
  <si>
    <t xml:space="preserve">Descripcion del material constitutivo del elemento (concreto reforzado / acero laminado en frio).</t>
  </si>
  <si>
    <t xml:space="preserve">Tipo</t>
  </si>
  <si>
    <t xml:space="preserve">d86a8141-07c2-5163-b0c5-cc8c18d257b1</t>
  </si>
  <si>
    <t xml:space="preserve">Memoria de calculo P-892022 rev.1</t>
  </si>
  <si>
    <t xml:space="preserve">Se mantiene. Complementa (no reemplaza) el parametro nativo 'Material estructural', que controla la apariencia.</t>
  </si>
  <si>
    <t xml:space="preserve">PAC_Resistencia_MPa</t>
  </si>
  <si>
    <t xml:space="preserve">Resistencia de diseno del material: f'c del concreto o Fy del acero, en MPa.</t>
  </si>
  <si>
    <t xml:space="preserve">Numero</t>
  </si>
  <si>
    <t xml:space="preserve">MPa</t>
  </si>
  <si>
    <t xml:space="preserve">79d71a23-b7ca-56d3-bbf6-1a80172370d0</t>
  </si>
  <si>
    <t xml:space="preserve">Memoria P-892022 rev.1: f'c = 21 MPa; acero PHR fy = 340 MPa (valor tipico ASTM A1011 Gr.50 - VERIFICAR en plano de cubierta)</t>
  </si>
  <si>
    <t xml:space="preserve">Se unifica el nombre (antes 'Resistencia caracteristica (f'c / Fy)') y se fija la unidad en el nombre.</t>
  </si>
  <si>
    <t xml:space="preserve">PAC_Nivel_Referencia</t>
  </si>
  <si>
    <t xml:space="preserve">Nivel del proyecto al que se asocia el elemento (N+0,00 / N+3,05 / N+6,05).</t>
  </si>
  <si>
    <t xml:space="preserve">Restricciones</t>
  </si>
  <si>
    <t xml:space="preserve">cdd84e08-b753-5092-962e-e539fcc67cef</t>
  </si>
  <si>
    <t xml:space="preserve">Planos de cimentacion, desarrollo de columnas y porticos</t>
  </si>
  <si>
    <t xml:space="preserve">Se mantiene como texto normalizado para el Schedule multicategoria (el nivel nativo tiene nombre distinto por categoria).</t>
  </si>
  <si>
    <t xml:space="preserve">PAC_Clasificacion_IFC_Uniclass</t>
  </si>
  <si>
    <t xml:space="preserve">Clase IFC 4 y codigo Uniclass 2015 del objeto (ej. IfcFooting.PAD_FOOTING | EF_20_10).</t>
  </si>
  <si>
    <t xml:space="preserve">Datos IFC</t>
  </si>
  <si>
    <t xml:space="preserve">b6c0a61c-414b-57c4-b1b4-1013d12b3ee6</t>
  </si>
  <si>
    <t xml:space="preserve">IFC 4 (buildingSMART) y Uniclass 2015 tabla EF</t>
  </si>
  <si>
    <t xml:space="preserve">Se mantiene. Base para la exportacion IFC.</t>
  </si>
  <si>
    <t xml:space="preserve">PAC_Norma_Diseno</t>
  </si>
  <si>
    <t xml:space="preserve">Norma bajo la cual se diseno y se verifica el paciente.</t>
  </si>
  <si>
    <t xml:space="preserve">Instancia (Informacion de proyecto)</t>
  </si>
  <si>
    <t xml:space="preserve">Proyecto</t>
  </si>
  <si>
    <t xml:space="preserve">Compartido vinculado a Informacion de proyecto</t>
  </si>
  <si>
    <t xml:space="preserve">066e6011-2a6d-5560-b4db-2e0ed2444dd1</t>
  </si>
  <si>
    <t xml:space="preserve">NSR-10 Titulos B y C</t>
  </si>
  <si>
    <t xml:space="preserve">Se saca de los objetos: en la Act. 1 se repetia igual en los 4 objetos (duplicidad). Ahora se registra una sola vez para todo el proyecto.</t>
  </si>
  <si>
    <t xml:space="preserve">ZAP_Lado_B</t>
  </si>
  <si>
    <t xml:space="preserve">Lado en planta de la zapata cuadrada (B = L). Controla la geometria: Anchura = Longitud = ZAP_Lado_B.</t>
  </si>
  <si>
    <t xml:space="preserve">Longitud</t>
  </si>
  <si>
    <t xml:space="preserve">m</t>
  </si>
  <si>
    <t xml:space="preserve">Particular</t>
  </si>
  <si>
    <t xml:space="preserve">Compartido dentro de la familia (Family/Shared)</t>
  </si>
  <si>
    <t xml:space="preserve">Cotas</t>
  </si>
  <si>
    <t xml:space="preserve">3fc88ade-62a9-5490-9b81-ab62f9bf5ae9</t>
  </si>
  <si>
    <t xml:space="preserve">Despiece Z-T1 / Z-T2 / Z-T3</t>
  </si>
  <si>
    <t xml:space="preserve">Reemplaza 'Dimensiones en planta (B x L)': todas las zapatas son cuadradas, un solo valor evita incoherencias B/L.</t>
  </si>
  <si>
    <t xml:space="preserve">ZAP_Espesor_h</t>
  </si>
  <si>
    <t xml:space="preserve">Altura del dado de la zapata. Controla el espesor nativo de la familia.</t>
  </si>
  <si>
    <t xml:space="preserve">965537a6-536c-58a0-bd63-db59f71be075</t>
  </si>
  <si>
    <t xml:space="preserve">Despiece de zapatas (h = 0,35 m)</t>
  </si>
  <si>
    <t xml:space="preserve">Se mantiene.</t>
  </si>
  <si>
    <t xml:space="preserve">ZAP_Volumen_Concreto</t>
  </si>
  <si>
    <t xml:space="preserve">Volumen de concreto de la zapata, calculado por formula.</t>
  </si>
  <si>
    <t xml:space="preserve">Volumen</t>
  </si>
  <si>
    <t xml:space="preserve">m3</t>
  </si>
  <si>
    <t xml:space="preserve">ZAP_Lado_B * ZAP_Lado_B * ZAP_Espesor_h</t>
  </si>
  <si>
    <t xml:space="preserve">8d34a176-490a-5403-83f0-6fa71f5013a4</t>
  </si>
  <si>
    <t xml:space="preserve">Calculado</t>
  </si>
  <si>
    <t xml:space="preserve">NUEVO: relacion/formula exigida por la guia. Cota de desplante y mejoramiento granular se retiran (son de la excavacion, no del objeto).</t>
  </si>
  <si>
    <t xml:space="preserve">COL_Seccion_bxh</t>
  </si>
  <si>
    <t xml:space="preserve">Seccion transversal de la columna en texto normalizado (ej. 0,30x0,30).</t>
  </si>
  <si>
    <t xml:space="preserve">d75f8334-2783-55cb-9ec8-23c7e389d540</t>
  </si>
  <si>
    <t xml:space="preserve">Planta de desarrollo de columnas</t>
  </si>
  <si>
    <t xml:space="preserve">Se mantiene; los parametros nativos b y h siguen controlando la geometria.</t>
  </si>
  <si>
    <t xml:space="preserve">COL_Altura_Libre</t>
  </si>
  <si>
    <t xml:space="preserve">Altura libre: elevacion del nivel de remate menos el nivel de arranque (N+0,00) menos el peralte de la viga superior (0,30 m). 2,75 m o 5,75 m segun el eje.</t>
  </si>
  <si>
    <t xml:space="preserve">40c3badd-65e0-5065-a86f-611a6c6a2664</t>
  </si>
  <si>
    <t xml:space="preserve">Porticos eje 7 y eje transversal</t>
  </si>
  <si>
    <t xml:space="preserve">Se mantiene. 'Nivel de arranque y remate' se retira: duplica los parametros nativos Nivel base / Nivel superior.</t>
  </si>
  <si>
    <t xml:space="preserve">COL_Refuerzo_Longitudinal</t>
  </si>
  <si>
    <t xml:space="preserve">Cantidad y diametro de barras longitudinales y estribos.</t>
  </si>
  <si>
    <t xml:space="preserve">0a069ea7-3f17-5c14-a363-d5b9df101717</t>
  </si>
  <si>
    <t xml:space="preserve">Despiece de columnas, memoria P-892022 rev.1</t>
  </si>
  <si>
    <t xml:space="preserve">VCI_Seccion_bxh</t>
  </si>
  <si>
    <t xml:space="preserve">Seccion transversal de la viga de amarre (0,30x0,30).</t>
  </si>
  <si>
    <t xml:space="preserve">4ec9bf06-1bab-5300-8692-932dc6dfeccf</t>
  </si>
  <si>
    <t xml:space="preserve">Planta de cimentaciones (VC-TIPO)</t>
  </si>
  <si>
    <t xml:space="preserve">VCI_Eje_Estructural</t>
  </si>
  <si>
    <t xml:space="preserve">Eje de la reticula sobre el que se localiza el tramo de viga (ej. A, 1).</t>
  </si>
  <si>
    <t xml:space="preserve">3d771281-4586-5fcc-891a-b316c46ab842</t>
  </si>
  <si>
    <t xml:space="preserve">Reticula de ejes de los planos estructurales</t>
  </si>
  <si>
    <t xml:space="preserve">Se mantiene. 'Longitud del tramo' se retira: la entrega el parametro nativo 'Longitud de corte'.</t>
  </si>
  <si>
    <t xml:space="preserve">VCI_Refuerzo</t>
  </si>
  <si>
    <t xml:space="preserve">Barras longitudinales y separacion de estribos del tramo.</t>
  </si>
  <si>
    <t xml:space="preserve">2c83e82a-5e4d-5443-aa71-6c35dfbc77c3</t>
  </si>
  <si>
    <t xml:space="preserve">Despiece de vigas de cimentacion, memoria P-892022 rev.1</t>
  </si>
  <si>
    <t xml:space="preserve">COR_Designacion_Perfil</t>
  </si>
  <si>
    <t xml:space="preserve">Denominacion comercial del perfil laminado en frio.</t>
  </si>
  <si>
    <t xml:space="preserve">b46100c4-1696-5b8f-bf7b-367e3aa6a906</t>
  </si>
  <si>
    <t xml:space="preserve">Plano de cubierta (PHR C 160x60x20)</t>
  </si>
  <si>
    <t xml:space="preserve">COR_Espesor_Lamina</t>
  </si>
  <si>
    <t xml:space="preserve">Calibre / espesor de la lamina del perfil.</t>
  </si>
  <si>
    <t xml:space="preserve">mm</t>
  </si>
  <si>
    <t xml:space="preserve">331132ab-4306-5dd4-b1e3-66230ec73d80</t>
  </si>
  <si>
    <t xml:space="preserve">Plano de cubierta (e = 1,50 mm)</t>
  </si>
  <si>
    <t xml:space="preserve">COR_Separacion</t>
  </si>
  <si>
    <t xml:space="preserve">Separacion centro a centro entre correas consecutivas.</t>
  </si>
  <si>
    <t xml:space="preserve">d1420baf-85ea-5cb2-b69f-0f498712487d</t>
  </si>
  <si>
    <t xml:space="preserve">Plano de cubierta</t>
  </si>
  <si>
    <t xml:space="preserve">Se mantiene. 'Luz libre entre apoyos' se retira: la entrega el parametro nativo 'Longitud'.</t>
  </si>
  <si>
    <t xml:space="preserve">CONTROL DE ALCANCE (guia: ~5 comunes y maximo 3 particulares por objeto)</t>
  </si>
  <si>
    <t xml:space="preserve">Parametros comunes (aplicados a los 4 objetos)</t>
  </si>
  <si>
    <t xml:space="preserve">Parametros particulares (total)</t>
  </si>
  <si>
    <t xml:space="preserve">Particulares ZAP</t>
  </si>
  <si>
    <t xml:space="preserve">Particulares COL</t>
  </si>
  <si>
    <t xml:space="preserve">Particulares VCI</t>
  </si>
  <si>
    <t xml:space="preserve">Particulares COR</t>
  </si>
  <si>
    <t xml:space="preserve">Parametros por objeto (comunes + particulares de ZAP)</t>
  </si>
  <si>
    <t xml:space="preserve">Nombres duplicados en la matriz (debe ser 0)</t>
  </si>
  <si>
    <t xml:space="preserve">Formulas implementadas</t>
  </si>
  <si>
    <t xml:space="preserve">HOJA 3: VALORES DE TIPO CARGADOS EN EL MODELO (control cruzado con el Schedule)</t>
  </si>
  <si>
    <t xml:space="preserve">Texto azul = dato de entrada (planos / memoria). Negro = formula. La columna Volumen replica la formula de Revit ZAP_Lado_B * ZAP_Lado_B * ZAP_Espesor_h.</t>
  </si>
  <si>
    <t xml:space="preserve">Objeto</t>
  </si>
  <si>
    <t xml:space="preserve">Tipo (nombre en Revit)</t>
  </si>
  <si>
    <t xml:space="preserve">b o B (m)</t>
  </si>
  <si>
    <t xml:space="preserve">h (m)</t>
  </si>
  <si>
    <t xml:space="preserve">Refuerzo / espesor</t>
  </si>
  <si>
    <t xml:space="preserve">Seccion bxh (texto)</t>
  </si>
  <si>
    <t xml:space="preserve">ZAP_Volumen_Concreto (m3)</t>
  </si>
  <si>
    <t xml:space="preserve">Cantidad segun plano P89</t>
  </si>
  <si>
    <t xml:space="preserve">Cantidad en Schedule</t>
  </si>
  <si>
    <t xml:space="preserve">Volumen total (m3)</t>
  </si>
  <si>
    <t xml:space="preserve">Z-T1</t>
  </si>
  <si>
    <t xml:space="preserve">Concreto reforzado f'c 21 MPa</t>
  </si>
  <si>
    <t xml:space="preserve">IfcFooting.PAD_FOOTING | EF_20_10</t>
  </si>
  <si>
    <t xml:space="preserve">VERIFICAR en despiece P-892022</t>
  </si>
  <si>
    <t xml:space="preserve">Z-T2</t>
  </si>
  <si>
    <t xml:space="preserve">Z-T3</t>
  </si>
  <si>
    <t xml:space="preserve">C-30x30</t>
  </si>
  <si>
    <t xml:space="preserve">IfcColumn.COLUMN | EF_25_10</t>
  </si>
  <si>
    <t xml:space="preserve">C-25x40</t>
  </si>
  <si>
    <t xml:space="preserve">C-40x25</t>
  </si>
  <si>
    <t xml:space="preserve">VC-TIPO</t>
  </si>
  <si>
    <t xml:space="preserve">IfcBeam.BEAM | EF_20_10</t>
  </si>
  <si>
    <t xml:space="preserve">PHR C 160x60x20</t>
  </si>
  <si>
    <t xml:space="preserve">Acero laminado en frio PHR</t>
  </si>
  <si>
    <t xml:space="preserve">IfcMember.PURLIN | EF_30_10</t>
  </si>
  <si>
    <t xml:space="preserve">e = 1,50 mm</t>
  </si>
  <si>
    <t xml:space="preserve">VG-30x50</t>
  </si>
  <si>
    <t xml:space="preserve">VG-20x50</t>
  </si>
  <si>
    <t xml:space="preserve">VG-12x50</t>
  </si>
  <si>
    <t xml:space="preserve">IfcSlab.FLOOR | EF_30_20</t>
  </si>
  <si>
    <t xml:space="preserve">VERIFICAR espesor y refuerzo (el DWG no rotula el espesor)</t>
  </si>
  <si>
    <t xml:space="preserve">Total concreto zapatas</t>
  </si>
  <si>
    <t xml:space="preserve">Cantidad segun plano: conteo de etiquetas y elementos en la Planta de Cimentaciones del DWG P89-2022 (VC = tramos entre columnas sobre un mismo eje; correas: 24 a ~1,00 m en 3 zonas de cubierta; VG = tramos de las plantas N+3,05 y N+6,05; losa = 2 paños). Cantidad en Schedule (amarillo): copiar el conteo del Schedule P89_ACT03_VALIDACION.</t>
  </si>
  <si>
    <t xml:space="preserve">HOJA 4: ESTRATEGIA COMUN DE PARAMETRIZACION Y JUSTIFICACION</t>
  </si>
  <si>
    <t xml:space="preserve">Tema</t>
  </si>
  <si>
    <t xml:space="preserve">Decision del grupo</t>
  </si>
  <si>
    <t xml:space="preserve">Justificacion</t>
  </si>
  <si>
    <t xml:space="preserve">Nomenclatura de parametros</t>
  </si>
  <si>
    <t xml:space="preserve">PREFIJO_Nombre_En_Palabras. PAC_ = comun al paciente; ZAP_, COL_, VCI_, COR_ = particular de cada objeto. Sin tildes ni espacios.</t>
  </si>
  <si>
    <t xml:space="preserve">Un prefijo identifica el alcance del parametro en la lista de campos del Schedule y evita confundirlo con parametros nativos o de otras plantillas. Sin tildes para que el archivo compartido y el IFC no tengan problemas de codificacion.</t>
  </si>
  <si>
    <t xml:space="preserve">Nomenclatura de elementos</t>
  </si>
  <si>
    <t xml:space="preserve">PAC_Codigo_Elemento = OBJETO-TIPO-EJE (ZAP-ZT1-1-B, COL-C30X30-6-D, VCI-VC-E-1/3, COR-PHR-01).</t>
  </si>
  <si>
    <t xml:space="preserve">Campos separados por guion como en ISO 19650-2; permite ordenar y filtrar en el Schedule.</t>
  </si>
  <si>
    <t xml:space="preserve">Parametros comunes: Shared + Project</t>
  </si>
  <si>
    <t xml:space="preserve">Los 5 comunes se crean en un solo archivo de parametros compartidos y se vinculan al proyecto en las categorias Cimentacion estructural, Pilares estructurales y Armazon estructural.</t>
  </si>
  <si>
    <t xml:space="preserve">Compartido: el mismo GUID en todos los objetos, de modo que el Schedule multicategoria y el IFC los leen como un solo campo. Vinculado al proyecto: se definen una vez y llegan a todos los elementos de esas categorias sin editar cada familia.</t>
  </si>
  <si>
    <t xml:space="preserve">Parametros particulares: Shared en familia</t>
  </si>
  <si>
    <t xml:space="preserve">Los 3 particulares de cada objeto se agregan dentro de su familia como parametros compartidos.</t>
  </si>
  <si>
    <t xml:space="preserve">Viga de cimentacion y correa estan en la misma categoria (Armazon estructural); si se vincularan al proyecto, cada una mostraria los parametros de la otra. Dentro de la familia solo aparecen donde corresponden, y por ser compartidos se pueden poner en el Schedule.</t>
  </si>
  <si>
    <t xml:space="preserve">Parametro de familia con formula</t>
  </si>
  <si>
    <t xml:space="preserve">ZAP_Volumen_Concreto = ZAP_Lado_B * ZAP_Lado_B * ZAP_Espesor_h. Ademas Anchura = ZAP_Lado_B, Longitud = ZAP_Lado_B, Espesor = ZAP_Espesor_h.</t>
  </si>
  <si>
    <t xml:space="preserve">Es la relacion parametrica pedida: al cambiar ZAP_Lado_B en un tipo, cambian la geometria y el volumen; el Schedule lo muestra al instante. Las formulas solo existen en el Editor de familias.</t>
  </si>
  <si>
    <t xml:space="preserve">Parametro de proyecto (Informacion de proyecto)</t>
  </si>
  <si>
    <t xml:space="preserve">PAC_Norma_Diseno = NSR-10 Titulos B y C, una sola vez.</t>
  </si>
  <si>
    <t xml:space="preserve">En la Act. 1 se repetia igual en cada objeto (duplicidad). Es un dato del proyecto, no de cada objeto.</t>
  </si>
  <si>
    <t xml:space="preserve">Parametro global</t>
  </si>
  <si>
    <t xml:space="preserve">No se usa para los parametros de la matriz. Se deja documentado como opcion para la cota de desplante (-1,00 m) si el grupo decide modelar la excavacion.</t>
  </si>
  <si>
    <t xml:space="preserve">Un parametro global solo controla parametros de instancia de cota/longitud; los parametros de la matriz son en su mayoria texto o de tipo, por eso no aplica.</t>
  </si>
  <si>
    <t xml:space="preserve">Tipo vs Instancia</t>
  </si>
  <si>
    <t xml:space="preserve">Tipo: lo que es igual para todas las piezas del mismo tipo (material, resistencia, seccion, refuerzo, clasificacion). Instancia: lo que cambia pieza a pieza (codigo, nivel, altura libre, eje, separacion).</t>
  </si>
  <si>
    <t xml:space="preserve">Se evita repetir datos (un tipo = un valor) y se evita forzar tipos nuevos solo porque cambia la ubicacion.</t>
  </si>
  <si>
    <t xml:space="preserve">No duplicar parametros nativos</t>
  </si>
  <si>
    <t xml:space="preserve">Se retiran de la matriz los datos que Revit ya entrega: longitud del tramo, luz libre, nivel de arranque/remate, B y L por separado.</t>
  </si>
  <si>
    <t xml:space="preserve">Conclusion de la revision grupal: duplicar nativos produce valores que pueden contradecirse con la geometria.</t>
  </si>
  <si>
    <t xml:space="preserve">Elementos complementarios</t>
  </si>
  <si>
    <t xml:space="preserve">Vigas aereas VG (N+3,05 y N+6,05) y losa maciza de entrepiso: se modelan para completar el paciente y llevan solo los 5 parametros comunes.</t>
  </si>
  <si>
    <t xml:space="preserve">Muestran que la estrategia comun se puede extender a cualquier elemento nuevo sin crear parametros nuevos ni duplicados.</t>
  </si>
  <si>
    <t xml:space="preserve">Colores por objeto</t>
  </si>
  <si>
    <t xml:space="preserve">Un material por objeto: zapata gris, columna azul, VC verde, VG naranja, losa amarilla, correa roja. Vista '3D P89 ACT03 - Colores por objeto'.</t>
  </si>
  <si>
    <t xml:space="preserve">Permite reconocer cada objeto del paciente en el modelo y en el video; el material tambien queda en el parametro nativo Material estructural.</t>
  </si>
  <si>
    <t xml:space="preserve">Validacion</t>
  </si>
  <si>
    <t xml:space="preserve">Un Schedule multicategoria 'P89_ACT03_VALIDACION' con Categoria, Familia y tipo, los 5 comunes, los particulares y el conteo.</t>
  </si>
  <si>
    <t xml:space="preserve">Permite comparar en una sola tabla que los comunes esten llenos en los 4 objetos y que el volumen calculado coincida con la hoja VALORES_POR_TIPO.</t>
  </si>
  <si>
    <t xml:space="preserve">HOJA 5: AJUSTES DE LA MATRIZ DE LA ACTIVIDAD 1 (40 registros -&gt; 5 comunes + 3 particulares por objeto)</t>
  </si>
  <si>
    <t xml:space="preserve">Parametro Act. 1</t>
  </si>
  <si>
    <t xml:space="preserve">Objeto(s)</t>
  </si>
  <si>
    <t xml:space="preserve">Decision Act. 3</t>
  </si>
  <si>
    <t xml:space="preserve">Motivo</t>
  </si>
  <si>
    <t xml:space="preserve">Marca / Codigo de elemento</t>
  </si>
  <si>
    <t xml:space="preserve">Todos</t>
  </si>
  <si>
    <t xml:space="preserve">Se mantiene -&gt; PAC_Codigo_Elemento</t>
  </si>
  <si>
    <t xml:space="preserve">Comun, instancia.</t>
  </si>
  <si>
    <t xml:space="preserve">Material</t>
  </si>
  <si>
    <t xml:space="preserve">Se mantiene -&gt; PAC_Material_Estructural</t>
  </si>
  <si>
    <t xml:space="preserve">Comun, tipo.</t>
  </si>
  <si>
    <t xml:space="preserve">Resistencia caracteristica (f'c / Fy)</t>
  </si>
  <si>
    <t xml:space="preserve">Se mantiene -&gt; PAC_Resistencia_MPa</t>
  </si>
  <si>
    <t xml:space="preserve">Se unifica el nombre y la unidad.</t>
  </si>
  <si>
    <t xml:space="preserve">Nivel de referencia</t>
  </si>
  <si>
    <t xml:space="preserve">Se mantiene -&gt; PAC_Nivel_Referencia</t>
  </si>
  <si>
    <t xml:space="preserve">Clasificacion IFC / Uniclass</t>
  </si>
  <si>
    <t xml:space="preserve">Se mantiene -&gt; PAC_Clasificacion_IFC_Uniclass</t>
  </si>
  <si>
    <t xml:space="preserve">Norma de referencia de diseno</t>
  </si>
  <si>
    <t xml:space="preserve">Pasa a Informacion de proyecto -&gt; PAC_Norma_Diseno</t>
  </si>
  <si>
    <t xml:space="preserve">Era igual en los 4 objetos: un dato del proyecto.</t>
  </si>
  <si>
    <t xml:space="preserve">Dimensiones en planta (B x L)</t>
  </si>
  <si>
    <t xml:space="preserve">Zapata</t>
  </si>
  <si>
    <t xml:space="preserve">Se reemplaza por ZAP_Lado_B</t>
  </si>
  <si>
    <t xml:space="preserve">Zapatas cuadradas: un solo valor.</t>
  </si>
  <si>
    <t xml:space="preserve">Espesor h</t>
  </si>
  <si>
    <t xml:space="preserve">Se mantiene -&gt; ZAP_Espesor_h</t>
  </si>
  <si>
    <t xml:space="preserve">Cota de desplante</t>
  </si>
  <si>
    <t xml:space="preserve">Se retira de la matriz</t>
  </si>
  <si>
    <t xml:space="preserve">Depende de la ubicacion en ladera; queda como desfase nativo de la instancia (o parametro global opcional).</t>
  </si>
  <si>
    <t xml:space="preserve">Espesor de mejoramiento granular</t>
  </si>
  <si>
    <t xml:space="preserve">Pertenece a la capa de mejoramiento, no a la zapata.</t>
  </si>
  <si>
    <t xml:space="preserve">(nuevo)</t>
  </si>
  <si>
    <t xml:space="preserve">ZAP_Volumen_Concreto con formula</t>
  </si>
  <si>
    <t xml:space="preserve">Relacion parametrica exigida por la Act. 3.</t>
  </si>
  <si>
    <t xml:space="preserve">Seccion transversal (b x h)</t>
  </si>
  <si>
    <t xml:space="preserve">Columna</t>
  </si>
  <si>
    <t xml:space="preserve">Se mantiene -&gt; COL_Seccion_bxh</t>
  </si>
  <si>
    <t xml:space="preserve">Altura libre</t>
  </si>
  <si>
    <t xml:space="preserve">Se mantiene -&gt; COL_Altura_Libre</t>
  </si>
  <si>
    <t xml:space="preserve">Nivel de arranque y remate</t>
  </si>
  <si>
    <t xml:space="preserve">Se retira</t>
  </si>
  <si>
    <t xml:space="preserve">Duplica Nivel base / Nivel superior nativos.</t>
  </si>
  <si>
    <t xml:space="preserve">Despiece del refuerzo longitudinal</t>
  </si>
  <si>
    <t xml:space="preserve">Se mantiene -&gt; COL_Refuerzo_Longitudinal</t>
  </si>
  <si>
    <t xml:space="preserve">Viga cimentacion</t>
  </si>
  <si>
    <t xml:space="preserve">Se mantiene -&gt; VCI_Seccion_bxh</t>
  </si>
  <si>
    <t xml:space="preserve">Longitud del tramo entre zapatas</t>
  </si>
  <si>
    <t xml:space="preserve">La entrega 'Longitud de corte' nativa.</t>
  </si>
  <si>
    <t xml:space="preserve">Eje estructural asociado</t>
  </si>
  <si>
    <t xml:space="preserve">Se mantiene -&gt; VCI_Eje_Estructural</t>
  </si>
  <si>
    <t xml:space="preserve">Refuerzo longitudinal y transversal</t>
  </si>
  <si>
    <t xml:space="preserve">Se mantiene -&gt; VCI_Refuerzo</t>
  </si>
  <si>
    <t xml:space="preserve">Designacion del perfil</t>
  </si>
  <si>
    <t xml:space="preserve">Correa</t>
  </si>
  <si>
    <t xml:space="preserve">Se mantiene -&gt; COR_Designacion_Perfil</t>
  </si>
  <si>
    <t xml:space="preserve">Calibre / espesor de lamina</t>
  </si>
  <si>
    <t xml:space="preserve">Se mantiene -&gt; COR_Espesor_Lamina</t>
  </si>
  <si>
    <t xml:space="preserve">Luz libre entre apoyos</t>
  </si>
  <si>
    <t xml:space="preserve">La entrega 'Longitud' nativa.</t>
  </si>
  <si>
    <t xml:space="preserve">Separacion entre correas</t>
  </si>
  <si>
    <t xml:space="preserve">Se mantiene -&gt; COR_Separacion</t>
  </si>
  <si>
    <t xml:space="preserve">Conclusiones del foro (Act. 2)</t>
  </si>
  <si>
    <t xml:space="preserve">COMPLETAR por el grupo</t>
  </si>
  <si>
    <t xml:space="preserve">Anotar aqui las conclusiones del foro que motivaron cada ajuste.</t>
  </si>
  <si>
    <t xml:space="preserve">HOJA 6: REVISION GRUPAL FINAL (QA/QC matriz vs modelo)</t>
  </si>
  <si>
    <t xml:space="preserve">Verificacion</t>
  </si>
  <si>
    <t xml:space="preserve">Resultado (OK / NO)</t>
  </si>
  <si>
    <t xml:space="preserve">Observacion</t>
  </si>
  <si>
    <t xml:space="preserve">Los 5 parametros comunes aparecen con el mismo nombre en los 4 objetos del Schedule.</t>
  </si>
  <si>
    <t xml:space="preserve">Ningun elemento del Schedule tiene vacio un parametro comun.</t>
  </si>
  <si>
    <t xml:space="preserve">Cada objeto tiene como maximo 3 parametros particulares (hoja MATRIZ_FINAL, control de alcance).</t>
  </si>
  <si>
    <t xml:space="preserve">No hay nombres duplicados en la matriz (control = 0) ni parametros que dupliquen nativos.</t>
  </si>
  <si>
    <t xml:space="preserve">Los GUID del archivo de parametros compartidos coinciden con la columna GUID de la matriz.</t>
  </si>
  <si>
    <t xml:space="preserve">Tipo / Instancia en Revit coincide con la matriz (revisar en Propiedades de tipo y de instancia).</t>
  </si>
  <si>
    <t xml:space="preserve">ZAP_Volumen_Concreto del Schedule = columna Volumen de VALORES_POR_TIPO (Z-T1 0,592; Z-T2 0,896; Z-T3 1,012 m3).</t>
  </si>
  <si>
    <t xml:space="preserve">Al cambiar ZAP_Lado_B de un tipo cambian la geometria y el volumen (prueba para el video).</t>
  </si>
  <si>
    <t xml:space="preserve">PAC_Norma_Diseno esta lleno en Informacion de proyecto.</t>
  </si>
  <si>
    <t xml:space="preserve">Las vigas aereas VG y la losa tienen llenos los 5 parametros comunes en el Schedule.</t>
  </si>
  <si>
    <t xml:space="preserve">Espesor de la losa maciza (0,15 m) confirmado con la memoria de calculo.</t>
  </si>
  <si>
    <t xml:space="preserve">El archivo Excel no tiene macros (.xlsx).</t>
  </si>
  <si>
    <t xml:space="preserve">DISCREPANCIA A RESOLVER: en la Planta de Cimentaciones del DWG la zapata Z-T2 (eje 1-E) esta dibujada de 1,50 x 1,50 m, pero el despiece de la Act. 1 dice 1,60 x 1,60 m. El modelo usa 1,60 m; confirmar con la memoria.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</si>
</sst>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0"/>
    <numFmt numFmtId="167" formatCode="0.0000"/>
    <numFmt numFmtId="168" formatCode="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FF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4" min="3" style="0" width="28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26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3" customFormat="false" ht="30" hidden="false" customHeight="true" outlineLevel="0" collapsed="false">
      <c r="A3" s="2" t="s">
        <v>1</v>
      </c>
      <c r="B3" s="3" t="s">
        <v>2</v>
      </c>
      <c r="C3" s="3"/>
      <c r="D3" s="3"/>
      <c r="E3" s="3"/>
      <c r="F3" s="3"/>
      <c r="G3" s="3"/>
      <c r="H3" s="3"/>
      <c r="I3" s="3"/>
    </row>
    <row r="4" customFormat="false" ht="30" hidden="false" customHeight="true" outlineLevel="0" collapsed="false">
      <c r="A4" s="2" t="s">
        <v>3</v>
      </c>
      <c r="B4" s="3" t="s">
        <v>4</v>
      </c>
      <c r="C4" s="3"/>
      <c r="D4" s="3"/>
      <c r="E4" s="3"/>
      <c r="F4" s="3"/>
      <c r="G4" s="3"/>
      <c r="H4" s="3"/>
      <c r="I4" s="3"/>
    </row>
    <row r="5" customFormat="false" ht="30" hidden="false" customHeight="true" outlineLevel="0" collapsed="false">
      <c r="A5" s="2" t="s">
        <v>5</v>
      </c>
      <c r="B5" s="3" t="s">
        <v>6</v>
      </c>
      <c r="C5" s="3"/>
      <c r="D5" s="3"/>
      <c r="E5" s="3"/>
      <c r="F5" s="3"/>
      <c r="G5" s="3"/>
      <c r="H5" s="3"/>
      <c r="I5" s="3"/>
    </row>
    <row r="6" customFormat="false" ht="30" hidden="false" customHeight="true" outlineLevel="0" collapsed="false">
      <c r="A6" s="2" t="s">
        <v>7</v>
      </c>
      <c r="B6" s="3" t="s">
        <v>8</v>
      </c>
      <c r="C6" s="3"/>
      <c r="D6" s="3"/>
      <c r="E6" s="3"/>
      <c r="F6" s="3"/>
      <c r="G6" s="3"/>
      <c r="H6" s="3"/>
      <c r="I6" s="3"/>
    </row>
    <row r="7" customFormat="false" ht="30" hidden="false" customHeight="true" outlineLevel="0" collapsed="false">
      <c r="A7" s="2" t="s">
        <v>9</v>
      </c>
      <c r="B7" s="3" t="s">
        <v>10</v>
      </c>
      <c r="C7" s="3"/>
      <c r="D7" s="3"/>
      <c r="E7" s="3"/>
      <c r="F7" s="3"/>
      <c r="G7" s="3"/>
      <c r="H7" s="3"/>
      <c r="I7" s="3"/>
    </row>
    <row r="8" customFormat="false" ht="30" hidden="false" customHeight="true" outlineLevel="0" collapsed="false">
      <c r="A8" s="2" t="s">
        <v>11</v>
      </c>
      <c r="B8" s="3" t="s">
        <v>12</v>
      </c>
      <c r="C8" s="3"/>
      <c r="D8" s="3"/>
      <c r="E8" s="3"/>
      <c r="F8" s="3"/>
      <c r="G8" s="3"/>
      <c r="H8" s="3"/>
      <c r="I8" s="3"/>
    </row>
    <row r="10" customFormat="false" ht="23.85" hidden="false" customHeight="false" outlineLevel="0" collapsed="false">
      <c r="A10" s="4" t="s">
        <v>13</v>
      </c>
      <c r="B10" s="4" t="s">
        <v>14</v>
      </c>
      <c r="C10" s="4" t="s">
        <v>15</v>
      </c>
      <c r="D10" s="4" t="s">
        <v>16</v>
      </c>
      <c r="E10" s="4" t="s">
        <v>17</v>
      </c>
      <c r="F10" s="4" t="s">
        <v>18</v>
      </c>
      <c r="G10" s="4" t="s">
        <v>19</v>
      </c>
      <c r="H10" s="4" t="s">
        <v>20</v>
      </c>
      <c r="I10" s="4" t="s">
        <v>21</v>
      </c>
    </row>
    <row r="11" customFormat="false" ht="22.35" hidden="false" customHeight="false" outlineLevel="0" collapsed="false">
      <c r="A11" s="5" t="n">
        <v>1</v>
      </c>
      <c r="B11" s="5" t="s">
        <v>22</v>
      </c>
      <c r="C11" s="5" t="s">
        <v>23</v>
      </c>
      <c r="D11" s="5" t="s">
        <v>24</v>
      </c>
      <c r="E11" s="5" t="s">
        <v>25</v>
      </c>
      <c r="F11" s="5" t="s">
        <v>26</v>
      </c>
      <c r="G11" s="5" t="s">
        <v>27</v>
      </c>
      <c r="H11" s="5" t="s">
        <v>28</v>
      </c>
      <c r="I11" s="5" t="s">
        <v>29</v>
      </c>
    </row>
    <row r="12" customFormat="false" ht="22.35" hidden="false" customHeight="false" outlineLevel="0" collapsed="false">
      <c r="A12" s="5" t="n">
        <v>2</v>
      </c>
      <c r="B12" s="5" t="s">
        <v>30</v>
      </c>
      <c r="C12" s="5" t="s">
        <v>31</v>
      </c>
      <c r="D12" s="5" t="s">
        <v>32</v>
      </c>
      <c r="E12" s="5" t="s">
        <v>33</v>
      </c>
      <c r="F12" s="5" t="s">
        <v>34</v>
      </c>
      <c r="G12" s="5" t="s">
        <v>35</v>
      </c>
      <c r="H12" s="5" t="s">
        <v>36</v>
      </c>
      <c r="I12" s="5" t="s">
        <v>29</v>
      </c>
    </row>
    <row r="13" customFormat="false" ht="22.35" hidden="false" customHeight="false" outlineLevel="0" collapsed="false">
      <c r="A13" s="5" t="n">
        <v>3</v>
      </c>
      <c r="B13" s="5" t="s">
        <v>37</v>
      </c>
      <c r="C13" s="5" t="s">
        <v>38</v>
      </c>
      <c r="D13" s="5" t="s">
        <v>39</v>
      </c>
      <c r="E13" s="5" t="s">
        <v>40</v>
      </c>
      <c r="F13" s="5" t="s">
        <v>41</v>
      </c>
      <c r="G13" s="5" t="s">
        <v>42</v>
      </c>
      <c r="H13" s="5" t="s">
        <v>28</v>
      </c>
      <c r="I13" s="5" t="s">
        <v>29</v>
      </c>
    </row>
    <row r="14" customFormat="false" ht="22.35" hidden="false" customHeight="false" outlineLevel="0" collapsed="false">
      <c r="A14" s="5" t="n">
        <v>4</v>
      </c>
      <c r="B14" s="5" t="s">
        <v>43</v>
      </c>
      <c r="C14" s="5" t="s">
        <v>44</v>
      </c>
      <c r="D14" s="5" t="s">
        <v>45</v>
      </c>
      <c r="E14" s="5" t="s">
        <v>46</v>
      </c>
      <c r="F14" s="5" t="s">
        <v>47</v>
      </c>
      <c r="G14" s="5" t="s">
        <v>48</v>
      </c>
      <c r="H14" s="5" t="s">
        <v>49</v>
      </c>
      <c r="I14" s="5" t="s">
        <v>29</v>
      </c>
    </row>
    <row r="16" customFormat="false" ht="15" hidden="false" customHeight="false" outlineLevel="0" collapsed="false">
      <c r="A16" s="2" t="s">
        <v>50</v>
      </c>
    </row>
    <row r="17" customFormat="false" ht="22.35" hidden="false" customHeight="false" outlineLevel="0" collapsed="false">
      <c r="A17" s="5" t="s">
        <v>51</v>
      </c>
      <c r="B17" s="5" t="s">
        <v>52</v>
      </c>
      <c r="C17" s="5" t="s">
        <v>53</v>
      </c>
      <c r="D17" s="5" t="s">
        <v>39</v>
      </c>
      <c r="E17" s="5" t="s">
        <v>54</v>
      </c>
      <c r="F17" s="5" t="s">
        <v>55</v>
      </c>
      <c r="G17" s="5" t="s">
        <v>42</v>
      </c>
      <c r="H17" s="5" t="s">
        <v>28</v>
      </c>
      <c r="I17" s="5" t="s">
        <v>29</v>
      </c>
    </row>
    <row r="18" customFormat="false" ht="15" hidden="false" customHeight="false" outlineLevel="0" collapsed="false">
      <c r="A18" s="5" t="s">
        <v>56</v>
      </c>
      <c r="B18" s="5" t="s">
        <v>57</v>
      </c>
      <c r="C18" s="5" t="s">
        <v>58</v>
      </c>
      <c r="D18" s="5" t="s">
        <v>59</v>
      </c>
      <c r="E18" s="5" t="s">
        <v>60</v>
      </c>
      <c r="F18" s="5" t="s">
        <v>55</v>
      </c>
      <c r="G18" s="5" t="s">
        <v>61</v>
      </c>
      <c r="H18" s="5" t="s">
        <v>62</v>
      </c>
      <c r="I18" s="5" t="s">
        <v>29</v>
      </c>
    </row>
  </sheetData>
  <mergeCells count="7">
    <mergeCell ref="A1:I1"/>
    <mergeCell ref="B3:I3"/>
    <mergeCell ref="B4:I4"/>
    <mergeCell ref="B5:I5"/>
    <mergeCell ref="B6:I6"/>
    <mergeCell ref="B7:I7"/>
    <mergeCell ref="B8:I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2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7" min="6" style="0" width="12"/>
    <col collapsed="false" customWidth="true" hidden="false" outlineLevel="0" max="8" min="8" style="0" width="30"/>
    <col collapsed="false" customWidth="true" hidden="false" outlineLevel="0" max="12" min="9" style="0" width="6"/>
    <col collapsed="false" customWidth="true" hidden="false" outlineLevel="0" max="13" min="13" style="0" width="16"/>
    <col collapsed="false" customWidth="true" hidden="false" outlineLevel="0" max="14" min="14" style="0" width="30"/>
    <col collapsed="false" customWidth="true" hidden="false" outlineLevel="0" max="15" min="15" style="0" width="38"/>
    <col collapsed="false" customWidth="true" hidden="false" outlineLevel="0" max="16" min="16" style="0" width="34"/>
    <col collapsed="false" customWidth="true" hidden="false" outlineLevel="0" max="17" min="17" style="0" width="46"/>
    <col collapsed="false" customWidth="true" hidden="false" outlineLevel="0" max="18" min="18" style="0" width="12"/>
  </cols>
  <sheetData>
    <row r="1" customFormat="false" ht="16.15" hidden="false" customHeight="false" outlineLevel="0" collapsed="false">
      <c r="A1" s="1" t="s">
        <v>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false" outlineLevel="0" collapsed="false">
      <c r="A2" s="6" t="s">
        <v>64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customFormat="false" ht="46.25" hidden="false" customHeight="false" outlineLevel="0" collapsed="false">
      <c r="A4" s="4" t="s">
        <v>13</v>
      </c>
      <c r="B4" s="4" t="s">
        <v>65</v>
      </c>
      <c r="C4" s="4" t="s">
        <v>3</v>
      </c>
      <c r="D4" s="4" t="s">
        <v>66</v>
      </c>
      <c r="E4" s="4" t="s">
        <v>67</v>
      </c>
      <c r="F4" s="4" t="s">
        <v>68</v>
      </c>
      <c r="G4" s="4" t="s">
        <v>69</v>
      </c>
      <c r="H4" s="4" t="s">
        <v>70</v>
      </c>
      <c r="I4" s="4" t="s">
        <v>22</v>
      </c>
      <c r="J4" s="4" t="s">
        <v>30</v>
      </c>
      <c r="K4" s="4" t="s">
        <v>37</v>
      </c>
      <c r="L4" s="4" t="s">
        <v>43</v>
      </c>
      <c r="M4" s="4" t="s">
        <v>71</v>
      </c>
      <c r="N4" s="4" t="s">
        <v>72</v>
      </c>
      <c r="O4" s="4" t="s">
        <v>73</v>
      </c>
      <c r="P4" s="4" t="s">
        <v>74</v>
      </c>
      <c r="Q4" s="4" t="s">
        <v>75</v>
      </c>
      <c r="R4" s="4" t="s">
        <v>76</v>
      </c>
    </row>
    <row r="5" customFormat="false" ht="32.8" hidden="false" customHeight="false" outlineLevel="0" collapsed="false">
      <c r="A5" s="7" t="n">
        <v>1</v>
      </c>
      <c r="B5" s="7" t="s">
        <v>77</v>
      </c>
      <c r="C5" s="7" t="s">
        <v>78</v>
      </c>
      <c r="D5" s="7" t="s">
        <v>79</v>
      </c>
      <c r="E5" s="7" t="s">
        <v>80</v>
      </c>
      <c r="F5" s="7" t="s">
        <v>81</v>
      </c>
      <c r="G5" s="7" t="s">
        <v>82</v>
      </c>
      <c r="H5" s="7" t="s">
        <v>83</v>
      </c>
      <c r="I5" s="7" t="s">
        <v>84</v>
      </c>
      <c r="J5" s="7" t="s">
        <v>84</v>
      </c>
      <c r="K5" s="7" t="s">
        <v>84</v>
      </c>
      <c r="L5" s="7" t="s">
        <v>84</v>
      </c>
      <c r="M5" s="7" t="s">
        <v>85</v>
      </c>
      <c r="N5" s="7" t="s">
        <v>55</v>
      </c>
      <c r="O5" s="7" t="s">
        <v>86</v>
      </c>
      <c r="P5" s="7" t="s">
        <v>87</v>
      </c>
      <c r="Q5" s="7" t="s">
        <v>88</v>
      </c>
      <c r="R5" s="8"/>
    </row>
    <row r="6" customFormat="false" ht="22.35" hidden="false" customHeight="false" outlineLevel="0" collapsed="false">
      <c r="A6" s="7" t="n">
        <v>2</v>
      </c>
      <c r="B6" s="7" t="s">
        <v>89</v>
      </c>
      <c r="C6" s="7" t="s">
        <v>90</v>
      </c>
      <c r="D6" s="7" t="s">
        <v>79</v>
      </c>
      <c r="E6" s="7" t="s">
        <v>80</v>
      </c>
      <c r="F6" s="7" t="s">
        <v>91</v>
      </c>
      <c r="G6" s="7" t="s">
        <v>82</v>
      </c>
      <c r="H6" s="7" t="s">
        <v>83</v>
      </c>
      <c r="I6" s="7" t="s">
        <v>84</v>
      </c>
      <c r="J6" s="7" t="s">
        <v>84</v>
      </c>
      <c r="K6" s="7" t="s">
        <v>84</v>
      </c>
      <c r="L6" s="7" t="s">
        <v>84</v>
      </c>
      <c r="M6" s="7" t="s">
        <v>85</v>
      </c>
      <c r="N6" s="7" t="s">
        <v>55</v>
      </c>
      <c r="O6" s="7" t="s">
        <v>92</v>
      </c>
      <c r="P6" s="7" t="s">
        <v>93</v>
      </c>
      <c r="Q6" s="7" t="s">
        <v>94</v>
      </c>
      <c r="R6" s="8"/>
    </row>
    <row r="7" customFormat="false" ht="43.25" hidden="false" customHeight="false" outlineLevel="0" collapsed="false">
      <c r="A7" s="7" t="n">
        <v>3</v>
      </c>
      <c r="B7" s="7" t="s">
        <v>95</v>
      </c>
      <c r="C7" s="7" t="s">
        <v>96</v>
      </c>
      <c r="D7" s="7" t="s">
        <v>97</v>
      </c>
      <c r="E7" s="7" t="s">
        <v>98</v>
      </c>
      <c r="F7" s="7" t="s">
        <v>91</v>
      </c>
      <c r="G7" s="7" t="s">
        <v>82</v>
      </c>
      <c r="H7" s="7" t="s">
        <v>83</v>
      </c>
      <c r="I7" s="7" t="s">
        <v>84</v>
      </c>
      <c r="J7" s="7" t="s">
        <v>84</v>
      </c>
      <c r="K7" s="7" t="s">
        <v>84</v>
      </c>
      <c r="L7" s="7" t="s">
        <v>84</v>
      </c>
      <c r="M7" s="7" t="s">
        <v>85</v>
      </c>
      <c r="N7" s="7" t="s">
        <v>55</v>
      </c>
      <c r="O7" s="7" t="s">
        <v>99</v>
      </c>
      <c r="P7" s="7" t="s">
        <v>100</v>
      </c>
      <c r="Q7" s="7" t="s">
        <v>101</v>
      </c>
      <c r="R7" s="8"/>
    </row>
    <row r="8" customFormat="false" ht="32.8" hidden="false" customHeight="false" outlineLevel="0" collapsed="false">
      <c r="A8" s="7" t="n">
        <v>4</v>
      </c>
      <c r="B8" s="7" t="s">
        <v>102</v>
      </c>
      <c r="C8" s="7" t="s">
        <v>103</v>
      </c>
      <c r="D8" s="7" t="s">
        <v>79</v>
      </c>
      <c r="E8" s="7" t="s">
        <v>80</v>
      </c>
      <c r="F8" s="7" t="s">
        <v>81</v>
      </c>
      <c r="G8" s="7" t="s">
        <v>82</v>
      </c>
      <c r="H8" s="7" t="s">
        <v>83</v>
      </c>
      <c r="I8" s="7" t="s">
        <v>84</v>
      </c>
      <c r="J8" s="7" t="s">
        <v>84</v>
      </c>
      <c r="K8" s="7" t="s">
        <v>84</v>
      </c>
      <c r="L8" s="7" t="s">
        <v>84</v>
      </c>
      <c r="M8" s="7" t="s">
        <v>104</v>
      </c>
      <c r="N8" s="7" t="s">
        <v>55</v>
      </c>
      <c r="O8" s="7" t="s">
        <v>105</v>
      </c>
      <c r="P8" s="7" t="s">
        <v>106</v>
      </c>
      <c r="Q8" s="7" t="s">
        <v>107</v>
      </c>
      <c r="R8" s="8"/>
    </row>
    <row r="9" customFormat="false" ht="22.35" hidden="false" customHeight="false" outlineLevel="0" collapsed="false">
      <c r="A9" s="7" t="n">
        <v>5</v>
      </c>
      <c r="B9" s="7" t="s">
        <v>108</v>
      </c>
      <c r="C9" s="7" t="s">
        <v>109</v>
      </c>
      <c r="D9" s="7" t="s">
        <v>79</v>
      </c>
      <c r="E9" s="7" t="s">
        <v>80</v>
      </c>
      <c r="F9" s="7" t="s">
        <v>91</v>
      </c>
      <c r="G9" s="7" t="s">
        <v>82</v>
      </c>
      <c r="H9" s="7" t="s">
        <v>83</v>
      </c>
      <c r="I9" s="7" t="s">
        <v>84</v>
      </c>
      <c r="J9" s="7" t="s">
        <v>84</v>
      </c>
      <c r="K9" s="7" t="s">
        <v>84</v>
      </c>
      <c r="L9" s="7" t="s">
        <v>84</v>
      </c>
      <c r="M9" s="7" t="s">
        <v>110</v>
      </c>
      <c r="N9" s="7" t="s">
        <v>55</v>
      </c>
      <c r="O9" s="7" t="s">
        <v>111</v>
      </c>
      <c r="P9" s="7" t="s">
        <v>112</v>
      </c>
      <c r="Q9" s="7" t="s">
        <v>113</v>
      </c>
      <c r="R9" s="8"/>
    </row>
    <row r="10" customFormat="false" ht="32.8" hidden="false" customHeight="false" outlineLevel="0" collapsed="false">
      <c r="A10" s="9" t="n">
        <v>6</v>
      </c>
      <c r="B10" s="9" t="s">
        <v>114</v>
      </c>
      <c r="C10" s="9" t="s">
        <v>115</v>
      </c>
      <c r="D10" s="9" t="s">
        <v>79</v>
      </c>
      <c r="E10" s="9" t="s">
        <v>80</v>
      </c>
      <c r="F10" s="9" t="s">
        <v>116</v>
      </c>
      <c r="G10" s="9" t="s">
        <v>117</v>
      </c>
      <c r="H10" s="9" t="s">
        <v>118</v>
      </c>
      <c r="I10" s="9"/>
      <c r="J10" s="9"/>
      <c r="K10" s="9"/>
      <c r="L10" s="9"/>
      <c r="M10" s="9" t="s">
        <v>85</v>
      </c>
      <c r="N10" s="9" t="s">
        <v>55</v>
      </c>
      <c r="O10" s="9" t="s">
        <v>119</v>
      </c>
      <c r="P10" s="9" t="s">
        <v>120</v>
      </c>
      <c r="Q10" s="9" t="s">
        <v>121</v>
      </c>
      <c r="R10" s="8"/>
    </row>
    <row r="11" customFormat="false" ht="32.8" hidden="false" customHeight="false" outlineLevel="0" collapsed="false">
      <c r="A11" s="10" t="n">
        <v>7</v>
      </c>
      <c r="B11" s="10" t="s">
        <v>122</v>
      </c>
      <c r="C11" s="10" t="s">
        <v>123</v>
      </c>
      <c r="D11" s="10" t="s">
        <v>124</v>
      </c>
      <c r="E11" s="10" t="s">
        <v>125</v>
      </c>
      <c r="F11" s="10" t="s">
        <v>91</v>
      </c>
      <c r="G11" s="10" t="s">
        <v>126</v>
      </c>
      <c r="H11" s="10" t="s">
        <v>127</v>
      </c>
      <c r="I11" s="10" t="s">
        <v>84</v>
      </c>
      <c r="J11" s="10"/>
      <c r="K11" s="10"/>
      <c r="L11" s="10"/>
      <c r="M11" s="10" t="s">
        <v>128</v>
      </c>
      <c r="N11" s="10" t="s">
        <v>55</v>
      </c>
      <c r="O11" s="10" t="s">
        <v>129</v>
      </c>
      <c r="P11" s="10" t="s">
        <v>130</v>
      </c>
      <c r="Q11" s="10" t="s">
        <v>131</v>
      </c>
      <c r="R11" s="8"/>
    </row>
    <row r="12" customFormat="false" ht="22.35" hidden="false" customHeight="false" outlineLevel="0" collapsed="false">
      <c r="A12" s="10" t="n">
        <v>8</v>
      </c>
      <c r="B12" s="10" t="s">
        <v>132</v>
      </c>
      <c r="C12" s="10" t="s">
        <v>133</v>
      </c>
      <c r="D12" s="10" t="s">
        <v>124</v>
      </c>
      <c r="E12" s="10" t="s">
        <v>125</v>
      </c>
      <c r="F12" s="10" t="s">
        <v>91</v>
      </c>
      <c r="G12" s="10" t="s">
        <v>126</v>
      </c>
      <c r="H12" s="10" t="s">
        <v>127</v>
      </c>
      <c r="I12" s="10" t="s">
        <v>84</v>
      </c>
      <c r="J12" s="10"/>
      <c r="K12" s="10"/>
      <c r="L12" s="10"/>
      <c r="M12" s="10" t="s">
        <v>128</v>
      </c>
      <c r="N12" s="10" t="s">
        <v>55</v>
      </c>
      <c r="O12" s="10" t="s">
        <v>134</v>
      </c>
      <c r="P12" s="10" t="s">
        <v>135</v>
      </c>
      <c r="Q12" s="10" t="s">
        <v>136</v>
      </c>
      <c r="R12" s="8"/>
    </row>
    <row r="13" customFormat="false" ht="32.8" hidden="false" customHeight="false" outlineLevel="0" collapsed="false">
      <c r="A13" s="10" t="n">
        <v>9</v>
      </c>
      <c r="B13" s="10" t="s">
        <v>137</v>
      </c>
      <c r="C13" s="10" t="s">
        <v>138</v>
      </c>
      <c r="D13" s="10" t="s">
        <v>139</v>
      </c>
      <c r="E13" s="10" t="s">
        <v>140</v>
      </c>
      <c r="F13" s="10" t="s">
        <v>91</v>
      </c>
      <c r="G13" s="10" t="s">
        <v>126</v>
      </c>
      <c r="H13" s="10" t="s">
        <v>127</v>
      </c>
      <c r="I13" s="10" t="s">
        <v>84</v>
      </c>
      <c r="J13" s="10"/>
      <c r="K13" s="10"/>
      <c r="L13" s="10"/>
      <c r="M13" s="10" t="s">
        <v>128</v>
      </c>
      <c r="N13" s="10" t="s">
        <v>141</v>
      </c>
      <c r="O13" s="10" t="s">
        <v>142</v>
      </c>
      <c r="P13" s="10" t="s">
        <v>143</v>
      </c>
      <c r="Q13" s="10" t="s">
        <v>144</v>
      </c>
      <c r="R13" s="8"/>
    </row>
    <row r="14" customFormat="false" ht="22.35" hidden="false" customHeight="false" outlineLevel="0" collapsed="false">
      <c r="A14" s="10" t="n">
        <v>10</v>
      </c>
      <c r="B14" s="10" t="s">
        <v>145</v>
      </c>
      <c r="C14" s="10" t="s">
        <v>146</v>
      </c>
      <c r="D14" s="10" t="s">
        <v>79</v>
      </c>
      <c r="E14" s="10" t="s">
        <v>125</v>
      </c>
      <c r="F14" s="10" t="s">
        <v>91</v>
      </c>
      <c r="G14" s="10" t="s">
        <v>126</v>
      </c>
      <c r="H14" s="10" t="s">
        <v>127</v>
      </c>
      <c r="I14" s="10"/>
      <c r="J14" s="10" t="s">
        <v>84</v>
      </c>
      <c r="K14" s="10"/>
      <c r="L14" s="10"/>
      <c r="M14" s="10" t="s">
        <v>128</v>
      </c>
      <c r="N14" s="10" t="s">
        <v>55</v>
      </c>
      <c r="O14" s="10" t="s">
        <v>147</v>
      </c>
      <c r="P14" s="10" t="s">
        <v>148</v>
      </c>
      <c r="Q14" s="10" t="s">
        <v>149</v>
      </c>
      <c r="R14" s="8"/>
    </row>
    <row r="15" customFormat="false" ht="32.8" hidden="false" customHeight="false" outlineLevel="0" collapsed="false">
      <c r="A15" s="10" t="n">
        <v>11</v>
      </c>
      <c r="B15" s="10" t="s">
        <v>150</v>
      </c>
      <c r="C15" s="10" t="s">
        <v>151</v>
      </c>
      <c r="D15" s="10" t="s">
        <v>124</v>
      </c>
      <c r="E15" s="10" t="s">
        <v>125</v>
      </c>
      <c r="F15" s="10" t="s">
        <v>81</v>
      </c>
      <c r="G15" s="10" t="s">
        <v>126</v>
      </c>
      <c r="H15" s="10" t="s">
        <v>127</v>
      </c>
      <c r="I15" s="10"/>
      <c r="J15" s="10" t="s">
        <v>84</v>
      </c>
      <c r="K15" s="10"/>
      <c r="L15" s="10"/>
      <c r="M15" s="10" t="s">
        <v>128</v>
      </c>
      <c r="N15" s="10" t="s">
        <v>55</v>
      </c>
      <c r="O15" s="10" t="s">
        <v>152</v>
      </c>
      <c r="P15" s="10" t="s">
        <v>153</v>
      </c>
      <c r="Q15" s="10" t="s">
        <v>154</v>
      </c>
      <c r="R15" s="8"/>
    </row>
    <row r="16" customFormat="false" ht="22.35" hidden="false" customHeight="false" outlineLevel="0" collapsed="false">
      <c r="A16" s="10" t="n">
        <v>12</v>
      </c>
      <c r="B16" s="10" t="s">
        <v>155</v>
      </c>
      <c r="C16" s="10" t="s">
        <v>156</v>
      </c>
      <c r="D16" s="10" t="s">
        <v>79</v>
      </c>
      <c r="E16" s="10" t="s">
        <v>80</v>
      </c>
      <c r="F16" s="10" t="s">
        <v>91</v>
      </c>
      <c r="G16" s="10" t="s">
        <v>126</v>
      </c>
      <c r="H16" s="10" t="s">
        <v>127</v>
      </c>
      <c r="I16" s="10"/>
      <c r="J16" s="10" t="s">
        <v>84</v>
      </c>
      <c r="K16" s="10"/>
      <c r="L16" s="10"/>
      <c r="M16" s="10" t="s">
        <v>85</v>
      </c>
      <c r="N16" s="10" t="s">
        <v>55</v>
      </c>
      <c r="O16" s="10" t="s">
        <v>157</v>
      </c>
      <c r="P16" s="10" t="s">
        <v>158</v>
      </c>
      <c r="Q16" s="10" t="s">
        <v>136</v>
      </c>
      <c r="R16" s="8"/>
    </row>
    <row r="17" customFormat="false" ht="22.35" hidden="false" customHeight="false" outlineLevel="0" collapsed="false">
      <c r="A17" s="10" t="n">
        <v>13</v>
      </c>
      <c r="B17" s="10" t="s">
        <v>159</v>
      </c>
      <c r="C17" s="10" t="s">
        <v>160</v>
      </c>
      <c r="D17" s="10" t="s">
        <v>79</v>
      </c>
      <c r="E17" s="10" t="s">
        <v>125</v>
      </c>
      <c r="F17" s="10" t="s">
        <v>91</v>
      </c>
      <c r="G17" s="10" t="s">
        <v>126</v>
      </c>
      <c r="H17" s="10" t="s">
        <v>127</v>
      </c>
      <c r="I17" s="10"/>
      <c r="J17" s="10"/>
      <c r="K17" s="10" t="s">
        <v>84</v>
      </c>
      <c r="L17" s="10"/>
      <c r="M17" s="10" t="s">
        <v>128</v>
      </c>
      <c r="N17" s="10" t="s">
        <v>55</v>
      </c>
      <c r="O17" s="10" t="s">
        <v>161</v>
      </c>
      <c r="P17" s="10" t="s">
        <v>162</v>
      </c>
      <c r="Q17" s="10" t="s">
        <v>136</v>
      </c>
      <c r="R17" s="8"/>
    </row>
    <row r="18" customFormat="false" ht="22.35" hidden="false" customHeight="false" outlineLevel="0" collapsed="false">
      <c r="A18" s="10" t="n">
        <v>14</v>
      </c>
      <c r="B18" s="10" t="s">
        <v>163</v>
      </c>
      <c r="C18" s="10" t="s">
        <v>164</v>
      </c>
      <c r="D18" s="10" t="s">
        <v>79</v>
      </c>
      <c r="E18" s="10" t="s">
        <v>80</v>
      </c>
      <c r="F18" s="10" t="s">
        <v>81</v>
      </c>
      <c r="G18" s="10" t="s">
        <v>126</v>
      </c>
      <c r="H18" s="10" t="s">
        <v>127</v>
      </c>
      <c r="I18" s="10"/>
      <c r="J18" s="10"/>
      <c r="K18" s="10" t="s">
        <v>84</v>
      </c>
      <c r="L18" s="10"/>
      <c r="M18" s="10" t="s">
        <v>85</v>
      </c>
      <c r="N18" s="10" t="s">
        <v>55</v>
      </c>
      <c r="O18" s="10" t="s">
        <v>165</v>
      </c>
      <c r="P18" s="10" t="s">
        <v>166</v>
      </c>
      <c r="Q18" s="10" t="s">
        <v>167</v>
      </c>
      <c r="R18" s="8"/>
    </row>
    <row r="19" customFormat="false" ht="22.35" hidden="false" customHeight="false" outlineLevel="0" collapsed="false">
      <c r="A19" s="10" t="n">
        <v>15</v>
      </c>
      <c r="B19" s="10" t="s">
        <v>168</v>
      </c>
      <c r="C19" s="10" t="s">
        <v>169</v>
      </c>
      <c r="D19" s="10" t="s">
        <v>79</v>
      </c>
      <c r="E19" s="10" t="s">
        <v>80</v>
      </c>
      <c r="F19" s="10" t="s">
        <v>91</v>
      </c>
      <c r="G19" s="10" t="s">
        <v>126</v>
      </c>
      <c r="H19" s="10" t="s">
        <v>127</v>
      </c>
      <c r="I19" s="10"/>
      <c r="J19" s="10"/>
      <c r="K19" s="10" t="s">
        <v>84</v>
      </c>
      <c r="L19" s="10"/>
      <c r="M19" s="10" t="s">
        <v>85</v>
      </c>
      <c r="N19" s="10" t="s">
        <v>55</v>
      </c>
      <c r="O19" s="10" t="s">
        <v>170</v>
      </c>
      <c r="P19" s="10" t="s">
        <v>171</v>
      </c>
      <c r="Q19" s="10" t="s">
        <v>136</v>
      </c>
      <c r="R19" s="8"/>
    </row>
    <row r="20" customFormat="false" ht="22.35" hidden="false" customHeight="false" outlineLevel="0" collapsed="false">
      <c r="A20" s="10" t="n">
        <v>16</v>
      </c>
      <c r="B20" s="10" t="s">
        <v>172</v>
      </c>
      <c r="C20" s="10" t="s">
        <v>173</v>
      </c>
      <c r="D20" s="10" t="s">
        <v>79</v>
      </c>
      <c r="E20" s="10" t="s">
        <v>80</v>
      </c>
      <c r="F20" s="10" t="s">
        <v>91</v>
      </c>
      <c r="G20" s="10" t="s">
        <v>126</v>
      </c>
      <c r="H20" s="10" t="s">
        <v>127</v>
      </c>
      <c r="I20" s="10"/>
      <c r="J20" s="10"/>
      <c r="K20" s="10"/>
      <c r="L20" s="10" t="s">
        <v>84</v>
      </c>
      <c r="M20" s="10" t="s">
        <v>85</v>
      </c>
      <c r="N20" s="10" t="s">
        <v>55</v>
      </c>
      <c r="O20" s="10" t="s">
        <v>174</v>
      </c>
      <c r="P20" s="10" t="s">
        <v>175</v>
      </c>
      <c r="Q20" s="10" t="s">
        <v>136</v>
      </c>
      <c r="R20" s="8"/>
    </row>
    <row r="21" customFormat="false" ht="22.35" hidden="false" customHeight="false" outlineLevel="0" collapsed="false">
      <c r="A21" s="10" t="n">
        <v>17</v>
      </c>
      <c r="B21" s="10" t="s">
        <v>176</v>
      </c>
      <c r="C21" s="10" t="s">
        <v>177</v>
      </c>
      <c r="D21" s="10" t="s">
        <v>124</v>
      </c>
      <c r="E21" s="10" t="s">
        <v>178</v>
      </c>
      <c r="F21" s="10" t="s">
        <v>91</v>
      </c>
      <c r="G21" s="10" t="s">
        <v>126</v>
      </c>
      <c r="H21" s="10" t="s">
        <v>127</v>
      </c>
      <c r="I21" s="10"/>
      <c r="J21" s="10"/>
      <c r="K21" s="10"/>
      <c r="L21" s="10" t="s">
        <v>84</v>
      </c>
      <c r="M21" s="10" t="s">
        <v>128</v>
      </c>
      <c r="N21" s="10" t="s">
        <v>55</v>
      </c>
      <c r="O21" s="10" t="s">
        <v>179</v>
      </c>
      <c r="P21" s="10" t="s">
        <v>180</v>
      </c>
      <c r="Q21" s="10" t="s">
        <v>136</v>
      </c>
      <c r="R21" s="8"/>
    </row>
    <row r="22" customFormat="false" ht="22.35" hidden="false" customHeight="false" outlineLevel="0" collapsed="false">
      <c r="A22" s="10" t="n">
        <v>18</v>
      </c>
      <c r="B22" s="10" t="s">
        <v>181</v>
      </c>
      <c r="C22" s="10" t="s">
        <v>182</v>
      </c>
      <c r="D22" s="10" t="s">
        <v>124</v>
      </c>
      <c r="E22" s="10" t="s">
        <v>125</v>
      </c>
      <c r="F22" s="10" t="s">
        <v>81</v>
      </c>
      <c r="G22" s="10" t="s">
        <v>126</v>
      </c>
      <c r="H22" s="10" t="s">
        <v>127</v>
      </c>
      <c r="I22" s="10"/>
      <c r="J22" s="10"/>
      <c r="K22" s="10"/>
      <c r="L22" s="10" t="s">
        <v>84</v>
      </c>
      <c r="M22" s="10" t="s">
        <v>128</v>
      </c>
      <c r="N22" s="10" t="s">
        <v>55</v>
      </c>
      <c r="O22" s="10" t="s">
        <v>183</v>
      </c>
      <c r="P22" s="10" t="s">
        <v>184</v>
      </c>
      <c r="Q22" s="10" t="s">
        <v>185</v>
      </c>
      <c r="R22" s="8"/>
    </row>
    <row r="23" customFormat="false" ht="15" hidden="false" customHeight="false" outlineLevel="0" collapsed="false">
      <c r="A23" s="2" t="s">
        <v>186</v>
      </c>
    </row>
    <row r="24" customFormat="false" ht="15" hidden="false" customHeight="false" outlineLevel="0" collapsed="false">
      <c r="B24" s="11" t="n">
        <f aca="false">COUNTIF(G5:G22,"Comun")</f>
        <v>5</v>
      </c>
      <c r="C24" s="12" t="s">
        <v>187</v>
      </c>
    </row>
    <row r="25" customFormat="false" ht="15" hidden="false" customHeight="false" outlineLevel="0" collapsed="false">
      <c r="B25" s="11" t="n">
        <f aca="false">COUNTIF(G5:G22,"Particular")</f>
        <v>12</v>
      </c>
      <c r="C25" s="12" t="s">
        <v>188</v>
      </c>
    </row>
    <row r="26" customFormat="false" ht="15" hidden="false" customHeight="false" outlineLevel="0" collapsed="false">
      <c r="B26" s="11" t="n">
        <f aca="false">COUNTIFS(G5:G22,"Particular",I5:I22,"X")</f>
        <v>3</v>
      </c>
      <c r="C26" s="12" t="s">
        <v>189</v>
      </c>
    </row>
    <row r="27" customFormat="false" ht="15" hidden="false" customHeight="false" outlineLevel="0" collapsed="false">
      <c r="B27" s="11" t="n">
        <f aca="false">COUNTIFS(G5:G22,"Particular",J5:J22,"X")</f>
        <v>3</v>
      </c>
      <c r="C27" s="12" t="s">
        <v>190</v>
      </c>
    </row>
    <row r="28" customFormat="false" ht="15" hidden="false" customHeight="false" outlineLevel="0" collapsed="false">
      <c r="B28" s="11" t="n">
        <f aca="false">COUNTIFS(G5:G22,"Particular",K5:K22,"X")</f>
        <v>3</v>
      </c>
      <c r="C28" s="12" t="s">
        <v>191</v>
      </c>
    </row>
    <row r="29" customFormat="false" ht="15" hidden="false" customHeight="false" outlineLevel="0" collapsed="false">
      <c r="B29" s="11" t="n">
        <f aca="false">COUNTIFS(G5:G22,"Particular",L5:L22,"X")</f>
        <v>3</v>
      </c>
      <c r="C29" s="12" t="s">
        <v>192</v>
      </c>
    </row>
    <row r="30" customFormat="false" ht="15" hidden="false" customHeight="false" outlineLevel="0" collapsed="false">
      <c r="B30" s="11" t="n">
        <f aca="false">B24+B26</f>
        <v>8</v>
      </c>
      <c r="C30" s="12" t="s">
        <v>193</v>
      </c>
    </row>
    <row r="31" customFormat="false" ht="15" hidden="false" customHeight="false" outlineLevel="0" collapsed="false">
      <c r="B31" s="11" t="n">
        <f aca="false">SUMPRODUCT((COUNTIF(B5:B22,B5:B22)&gt;1)*1)</f>
        <v>0</v>
      </c>
      <c r="C31" s="12" t="s">
        <v>194</v>
      </c>
    </row>
    <row r="32" customFormat="false" ht="15" hidden="false" customHeight="false" outlineLevel="0" collapsed="false">
      <c r="B32" s="11" t="n">
        <f aca="false">COUNTIF(N5:N22,"&lt;&gt;-")</f>
        <v>1</v>
      </c>
      <c r="C32" s="12" t="s">
        <v>195</v>
      </c>
    </row>
  </sheetData>
  <autoFilter ref="A4:R22"/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4" min="3" style="0" width="10"/>
    <col collapsed="false" customWidth="true" hidden="false" outlineLevel="0" max="5" min="5" style="0" width="28"/>
    <col collapsed="false" customWidth="true" hidden="false" outlineLevel="0" max="6" min="6" style="0" width="12"/>
    <col collapsed="false" customWidth="true" hidden="false" outlineLevel="0" max="7" min="7" style="0" width="34"/>
    <col collapsed="false" customWidth="true" hidden="false" outlineLevel="0" max="8" min="8" style="0" width="30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2" min="11" style="0" width="12"/>
    <col collapsed="false" customWidth="true" hidden="false" outlineLevel="0" max="13" min="13" style="0" width="14"/>
  </cols>
  <sheetData>
    <row r="1" customFormat="false" ht="16.15" hidden="false" customHeight="false" outlineLevel="0" collapsed="false">
      <c r="A1" s="1" t="s">
        <v>196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6" t="s">
        <v>197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4" customFormat="false" ht="35.05" hidden="false" customHeight="false" outlineLevel="0" collapsed="false">
      <c r="A4" s="4" t="s">
        <v>198</v>
      </c>
      <c r="B4" s="4" t="s">
        <v>199</v>
      </c>
      <c r="C4" s="4" t="s">
        <v>200</v>
      </c>
      <c r="D4" s="4" t="s">
        <v>201</v>
      </c>
      <c r="E4" s="4" t="s">
        <v>89</v>
      </c>
      <c r="F4" s="4" t="s">
        <v>95</v>
      </c>
      <c r="G4" s="4" t="s">
        <v>108</v>
      </c>
      <c r="H4" s="4" t="s">
        <v>202</v>
      </c>
      <c r="I4" s="4" t="s">
        <v>203</v>
      </c>
      <c r="J4" s="4" t="s">
        <v>204</v>
      </c>
      <c r="K4" s="4" t="s">
        <v>205</v>
      </c>
      <c r="L4" s="4" t="s">
        <v>206</v>
      </c>
      <c r="M4" s="4" t="s">
        <v>207</v>
      </c>
    </row>
    <row r="5" customFormat="false" ht="15" hidden="false" customHeight="false" outlineLevel="0" collapsed="false">
      <c r="A5" s="5" t="s">
        <v>22</v>
      </c>
      <c r="B5" s="5" t="s">
        <v>208</v>
      </c>
      <c r="C5" s="13" t="n">
        <v>1.3</v>
      </c>
      <c r="D5" s="13" t="n">
        <v>0.35</v>
      </c>
      <c r="E5" s="5" t="s">
        <v>209</v>
      </c>
      <c r="F5" s="14" t="n">
        <v>21</v>
      </c>
      <c r="G5" s="5" t="s">
        <v>210</v>
      </c>
      <c r="H5" s="8" t="s">
        <v>211</v>
      </c>
      <c r="I5" s="5" t="str">
        <f aca="false">SUBSTITUTE(TEXT(C5,"0.00"),".",",")&amp;"x"&amp;SUBSTITUTE(TEXT(D5,"0.00"),".",",")</f>
        <v>1,30x0,35</v>
      </c>
      <c r="J5" s="15" t="n">
        <f aca="false">C5*C5*D5</f>
        <v>0.5915</v>
      </c>
      <c r="K5" s="14" t="n">
        <v>12</v>
      </c>
      <c r="L5" s="8"/>
      <c r="M5" s="16" t="n">
        <f aca="false">J5*K5</f>
        <v>7.098</v>
      </c>
    </row>
    <row r="6" customFormat="false" ht="15" hidden="false" customHeight="false" outlineLevel="0" collapsed="false">
      <c r="A6" s="5" t="s">
        <v>22</v>
      </c>
      <c r="B6" s="5" t="s">
        <v>212</v>
      </c>
      <c r="C6" s="13" t="n">
        <v>1.6</v>
      </c>
      <c r="D6" s="13" t="n">
        <v>0.35</v>
      </c>
      <c r="E6" s="5" t="s">
        <v>209</v>
      </c>
      <c r="F6" s="14" t="n">
        <v>21</v>
      </c>
      <c r="G6" s="5" t="s">
        <v>210</v>
      </c>
      <c r="H6" s="8" t="s">
        <v>211</v>
      </c>
      <c r="I6" s="5" t="str">
        <f aca="false">SUBSTITUTE(TEXT(C6,"0.00"),".",",")&amp;"x"&amp;SUBSTITUTE(TEXT(D6,"0.00"),".",",")</f>
        <v>1,60x0,35</v>
      </c>
      <c r="J6" s="15" t="n">
        <f aca="false">C6*C6*D6</f>
        <v>0.896</v>
      </c>
      <c r="K6" s="14" t="n">
        <v>4</v>
      </c>
      <c r="L6" s="8"/>
      <c r="M6" s="16" t="n">
        <f aca="false">J6*K6</f>
        <v>3.584</v>
      </c>
    </row>
    <row r="7" customFormat="false" ht="15" hidden="false" customHeight="false" outlineLevel="0" collapsed="false">
      <c r="A7" s="5" t="s">
        <v>22</v>
      </c>
      <c r="B7" s="5" t="s">
        <v>213</v>
      </c>
      <c r="C7" s="13" t="n">
        <v>1.7</v>
      </c>
      <c r="D7" s="13" t="n">
        <v>0.35</v>
      </c>
      <c r="E7" s="5" t="s">
        <v>209</v>
      </c>
      <c r="F7" s="14" t="n">
        <v>21</v>
      </c>
      <c r="G7" s="5" t="s">
        <v>210</v>
      </c>
      <c r="H7" s="8" t="s">
        <v>211</v>
      </c>
      <c r="I7" s="5" t="str">
        <f aca="false">SUBSTITUTE(TEXT(C7,"0.00"),".",",")&amp;"x"&amp;SUBSTITUTE(TEXT(D7,"0.00"),".",",")</f>
        <v>1,70x0,35</v>
      </c>
      <c r="J7" s="15" t="n">
        <f aca="false">C7*C7*D7</f>
        <v>1.0115</v>
      </c>
      <c r="K7" s="14" t="n">
        <v>3</v>
      </c>
      <c r="L7" s="8"/>
      <c r="M7" s="16" t="n">
        <f aca="false">J7*K7</f>
        <v>3.0345</v>
      </c>
    </row>
    <row r="8" customFormat="false" ht="15" hidden="false" customHeight="false" outlineLevel="0" collapsed="false">
      <c r="A8" s="5" t="s">
        <v>30</v>
      </c>
      <c r="B8" s="5" t="s">
        <v>214</v>
      </c>
      <c r="C8" s="13" t="n">
        <v>0.3</v>
      </c>
      <c r="D8" s="13" t="n">
        <v>0.3</v>
      </c>
      <c r="E8" s="5" t="s">
        <v>209</v>
      </c>
      <c r="F8" s="14" t="n">
        <v>21</v>
      </c>
      <c r="G8" s="5" t="s">
        <v>215</v>
      </c>
      <c r="H8" s="8" t="s">
        <v>211</v>
      </c>
      <c r="I8" s="5" t="str">
        <f aca="false">SUBSTITUTE(TEXT(C8,"0.00"),".",",")&amp;"x"&amp;SUBSTITUTE(TEXT(D8,"0.00"),".",",")</f>
        <v>0,30x0,30</v>
      </c>
      <c r="J8" s="15" t="s">
        <v>55</v>
      </c>
      <c r="K8" s="14" t="n">
        <v>14</v>
      </c>
      <c r="L8" s="8"/>
      <c r="M8" s="5" t="s">
        <v>55</v>
      </c>
    </row>
    <row r="9" customFormat="false" ht="15" hidden="false" customHeight="false" outlineLevel="0" collapsed="false">
      <c r="A9" s="5" t="s">
        <v>30</v>
      </c>
      <c r="B9" s="5" t="s">
        <v>216</v>
      </c>
      <c r="C9" s="13" t="n">
        <v>0.25</v>
      </c>
      <c r="D9" s="13" t="n">
        <v>0.4</v>
      </c>
      <c r="E9" s="5" t="s">
        <v>209</v>
      </c>
      <c r="F9" s="14" t="n">
        <v>21</v>
      </c>
      <c r="G9" s="5" t="s">
        <v>215</v>
      </c>
      <c r="H9" s="8" t="s">
        <v>211</v>
      </c>
      <c r="I9" s="5" t="str">
        <f aca="false">SUBSTITUTE(TEXT(C9,"0.00"),".",",")&amp;"x"&amp;SUBSTITUTE(TEXT(D9,"0.00"),".",",")</f>
        <v>0,25x0,40</v>
      </c>
      <c r="J9" s="15" t="s">
        <v>55</v>
      </c>
      <c r="K9" s="14" t="n">
        <v>3</v>
      </c>
      <c r="L9" s="8"/>
      <c r="M9" s="5" t="s">
        <v>55</v>
      </c>
    </row>
    <row r="10" customFormat="false" ht="15" hidden="false" customHeight="false" outlineLevel="0" collapsed="false">
      <c r="A10" s="5" t="s">
        <v>30</v>
      </c>
      <c r="B10" s="5" t="s">
        <v>217</v>
      </c>
      <c r="C10" s="13" t="n">
        <v>0.4</v>
      </c>
      <c r="D10" s="13" t="n">
        <v>0.25</v>
      </c>
      <c r="E10" s="5" t="s">
        <v>209</v>
      </c>
      <c r="F10" s="14" t="n">
        <v>21</v>
      </c>
      <c r="G10" s="5" t="s">
        <v>215</v>
      </c>
      <c r="H10" s="8" t="s">
        <v>211</v>
      </c>
      <c r="I10" s="5" t="str">
        <f aca="false">SUBSTITUTE(TEXT(C10,"0.00"),".",",")&amp;"x"&amp;SUBSTITUTE(TEXT(D10,"0.00"),".",",")</f>
        <v>0,40x0,25</v>
      </c>
      <c r="J10" s="15" t="s">
        <v>55</v>
      </c>
      <c r="K10" s="14" t="n">
        <v>2</v>
      </c>
      <c r="L10" s="8"/>
      <c r="M10" s="5" t="s">
        <v>55</v>
      </c>
    </row>
    <row r="11" customFormat="false" ht="15" hidden="false" customHeight="false" outlineLevel="0" collapsed="false">
      <c r="A11" s="5" t="s">
        <v>37</v>
      </c>
      <c r="B11" s="5" t="s">
        <v>218</v>
      </c>
      <c r="C11" s="13" t="n">
        <v>0.3</v>
      </c>
      <c r="D11" s="13" t="n">
        <v>0.3</v>
      </c>
      <c r="E11" s="5" t="s">
        <v>209</v>
      </c>
      <c r="F11" s="14" t="n">
        <v>21</v>
      </c>
      <c r="G11" s="5" t="s">
        <v>219</v>
      </c>
      <c r="H11" s="8" t="s">
        <v>211</v>
      </c>
      <c r="I11" s="5" t="str">
        <f aca="false">SUBSTITUTE(TEXT(C11,"0.00"),".",",")&amp;"x"&amp;SUBSTITUTE(TEXT(D11,"0.00"),".",",")</f>
        <v>0,30x0,30</v>
      </c>
      <c r="J11" s="15" t="s">
        <v>55</v>
      </c>
      <c r="K11" s="14" t="n">
        <v>23</v>
      </c>
      <c r="L11" s="8"/>
      <c r="M11" s="5" t="s">
        <v>55</v>
      </c>
    </row>
    <row r="12" customFormat="false" ht="15" hidden="false" customHeight="false" outlineLevel="0" collapsed="false">
      <c r="A12" s="5" t="s">
        <v>43</v>
      </c>
      <c r="B12" s="5" t="s">
        <v>220</v>
      </c>
      <c r="C12" s="13" t="n">
        <v>0.06</v>
      </c>
      <c r="D12" s="13" t="n">
        <v>0.16</v>
      </c>
      <c r="E12" s="5" t="s">
        <v>221</v>
      </c>
      <c r="F12" s="17" t="n">
        <v>340</v>
      </c>
      <c r="G12" s="5" t="s">
        <v>222</v>
      </c>
      <c r="H12" s="5" t="s">
        <v>223</v>
      </c>
      <c r="I12" s="5" t="str">
        <f aca="false">SUBSTITUTE(TEXT(C12,"0.00"),".",",")&amp;"x"&amp;SUBSTITUTE(TEXT(D12,"0.00"),".",",")</f>
        <v>0,06x0,16</v>
      </c>
      <c r="J12" s="15" t="s">
        <v>55</v>
      </c>
      <c r="K12" s="14" t="n">
        <v>24</v>
      </c>
      <c r="L12" s="8"/>
      <c r="M12" s="5" t="s">
        <v>55</v>
      </c>
    </row>
    <row r="13" customFormat="false" ht="15" hidden="false" customHeight="false" outlineLevel="0" collapsed="false">
      <c r="A13" s="5" t="s">
        <v>52</v>
      </c>
      <c r="B13" s="5" t="s">
        <v>224</v>
      </c>
      <c r="C13" s="13" t="n">
        <v>0.3</v>
      </c>
      <c r="D13" s="13" t="n">
        <v>0.5</v>
      </c>
      <c r="E13" s="5" t="s">
        <v>209</v>
      </c>
      <c r="F13" s="14" t="n">
        <v>21</v>
      </c>
      <c r="G13" s="5" t="s">
        <v>219</v>
      </c>
      <c r="H13" s="8" t="s">
        <v>211</v>
      </c>
      <c r="I13" s="5" t="str">
        <f aca="false">SUBSTITUTE(TEXT(C13,"0.00"),".",",")&amp;"x"&amp;SUBSTITUTE(TEXT(D13,"0.00"),".",",")</f>
        <v>0,30x0,50</v>
      </c>
      <c r="J13" s="15" t="s">
        <v>55</v>
      </c>
      <c r="K13" s="14" t="n">
        <v>21</v>
      </c>
      <c r="L13" s="8"/>
      <c r="M13" s="5" t="s">
        <v>55</v>
      </c>
    </row>
    <row r="14" customFormat="false" ht="15" hidden="false" customHeight="false" outlineLevel="0" collapsed="false">
      <c r="A14" s="5" t="s">
        <v>52</v>
      </c>
      <c r="B14" s="5" t="s">
        <v>225</v>
      </c>
      <c r="C14" s="13" t="n">
        <v>0.2</v>
      </c>
      <c r="D14" s="13" t="n">
        <v>0.5</v>
      </c>
      <c r="E14" s="5" t="s">
        <v>209</v>
      </c>
      <c r="F14" s="14" t="n">
        <v>21</v>
      </c>
      <c r="G14" s="5" t="s">
        <v>219</v>
      </c>
      <c r="H14" s="8" t="s">
        <v>211</v>
      </c>
      <c r="I14" s="5" t="str">
        <f aca="false">SUBSTITUTE(TEXT(C14,"0.00"),".",",")&amp;"x"&amp;SUBSTITUTE(TEXT(D14,"0.00"),".",",")</f>
        <v>0,20x0,50</v>
      </c>
      <c r="J14" s="15" t="s">
        <v>55</v>
      </c>
      <c r="K14" s="14" t="n">
        <v>5</v>
      </c>
      <c r="L14" s="8"/>
      <c r="M14" s="5" t="s">
        <v>55</v>
      </c>
    </row>
    <row r="15" customFormat="false" ht="15" hidden="false" customHeight="false" outlineLevel="0" collapsed="false">
      <c r="A15" s="5" t="s">
        <v>52</v>
      </c>
      <c r="B15" s="5" t="s">
        <v>226</v>
      </c>
      <c r="C15" s="13" t="n">
        <v>0.12</v>
      </c>
      <c r="D15" s="13" t="n">
        <v>0.5</v>
      </c>
      <c r="E15" s="5" t="s">
        <v>209</v>
      </c>
      <c r="F15" s="14" t="n">
        <v>21</v>
      </c>
      <c r="G15" s="5" t="s">
        <v>219</v>
      </c>
      <c r="H15" s="8" t="s">
        <v>211</v>
      </c>
      <c r="I15" s="5" t="str">
        <f aca="false">SUBSTITUTE(TEXT(C15,"0.00"),".",",")&amp;"x"&amp;SUBSTITUTE(TEXT(D15,"0.00"),".",",")</f>
        <v>0,12x0,50</v>
      </c>
      <c r="J15" s="15" t="s">
        <v>55</v>
      </c>
      <c r="K15" s="14" t="n">
        <v>19</v>
      </c>
      <c r="L15" s="8"/>
      <c r="M15" s="5" t="s">
        <v>55</v>
      </c>
    </row>
    <row r="16" customFormat="false" ht="22.35" hidden="false" customHeight="false" outlineLevel="0" collapsed="false">
      <c r="A16" s="5" t="s">
        <v>57</v>
      </c>
      <c r="B16" s="5" t="s">
        <v>60</v>
      </c>
      <c r="C16" s="5" t="s">
        <v>55</v>
      </c>
      <c r="D16" s="8" t="n">
        <v>0.15</v>
      </c>
      <c r="E16" s="5" t="s">
        <v>209</v>
      </c>
      <c r="F16" s="5" t="n">
        <v>21</v>
      </c>
      <c r="G16" s="5" t="s">
        <v>227</v>
      </c>
      <c r="H16" s="8" t="s">
        <v>228</v>
      </c>
      <c r="I16" s="5" t="s">
        <v>55</v>
      </c>
      <c r="J16" s="5" t="s">
        <v>55</v>
      </c>
      <c r="K16" s="5" t="n">
        <v>2</v>
      </c>
      <c r="L16" s="5"/>
      <c r="M16" s="5" t="s">
        <v>55</v>
      </c>
    </row>
    <row r="17" customFormat="false" ht="15" hidden="false" customHeight="false" outlineLevel="0" collapsed="false">
      <c r="I17" s="18" t="s">
        <v>229</v>
      </c>
      <c r="M17" s="19" t="n">
        <f aca="false">SUM(M5:M16)</f>
        <v>13.7165</v>
      </c>
    </row>
    <row r="19" customFormat="false" ht="15" hidden="false" customHeight="false" outlineLevel="0" collapsed="false">
      <c r="A19" s="20" t="s">
        <v>230</v>
      </c>
    </row>
  </sheetData>
  <mergeCells count="2">
    <mergeCell ref="A1:M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3" min="3" style="0" width="70"/>
  </cols>
  <sheetData>
    <row r="1" customFormat="false" ht="16.15" hidden="false" customHeight="false" outlineLevel="0" collapsed="false">
      <c r="A1" s="1" t="s">
        <v>231</v>
      </c>
      <c r="B1" s="1"/>
      <c r="C1" s="1"/>
    </row>
    <row r="3" customFormat="false" ht="15" hidden="false" customHeight="false" outlineLevel="0" collapsed="false">
      <c r="A3" s="4" t="s">
        <v>232</v>
      </c>
      <c r="B3" s="4" t="s">
        <v>233</v>
      </c>
      <c r="C3" s="4" t="s">
        <v>234</v>
      </c>
    </row>
    <row r="4" customFormat="false" ht="61.5" hidden="false" customHeight="true" outlineLevel="0" collapsed="false">
      <c r="A4" s="5" t="s">
        <v>235</v>
      </c>
      <c r="B4" s="5" t="s">
        <v>236</v>
      </c>
      <c r="C4" s="5" t="s">
        <v>237</v>
      </c>
    </row>
    <row r="5" customFormat="false" ht="61.5" hidden="false" customHeight="true" outlineLevel="0" collapsed="false">
      <c r="A5" s="5" t="s">
        <v>238</v>
      </c>
      <c r="B5" s="5" t="s">
        <v>239</v>
      </c>
      <c r="C5" s="5" t="s">
        <v>240</v>
      </c>
    </row>
    <row r="6" customFormat="false" ht="61.5" hidden="false" customHeight="true" outlineLevel="0" collapsed="false">
      <c r="A6" s="5" t="s">
        <v>241</v>
      </c>
      <c r="B6" s="5" t="s">
        <v>242</v>
      </c>
      <c r="C6" s="5" t="s">
        <v>243</v>
      </c>
    </row>
    <row r="7" customFormat="false" ht="61.5" hidden="false" customHeight="true" outlineLevel="0" collapsed="false">
      <c r="A7" s="5" t="s">
        <v>244</v>
      </c>
      <c r="B7" s="5" t="s">
        <v>245</v>
      </c>
      <c r="C7" s="5" t="s">
        <v>246</v>
      </c>
    </row>
    <row r="8" customFormat="false" ht="61.5" hidden="false" customHeight="true" outlineLevel="0" collapsed="false">
      <c r="A8" s="5" t="s">
        <v>247</v>
      </c>
      <c r="B8" s="5" t="s">
        <v>248</v>
      </c>
      <c r="C8" s="5" t="s">
        <v>249</v>
      </c>
    </row>
    <row r="9" customFormat="false" ht="61.5" hidden="false" customHeight="true" outlineLevel="0" collapsed="false">
      <c r="A9" s="5" t="s">
        <v>250</v>
      </c>
      <c r="B9" s="5" t="s">
        <v>251</v>
      </c>
      <c r="C9" s="5" t="s">
        <v>252</v>
      </c>
    </row>
    <row r="10" customFormat="false" ht="61.5" hidden="false" customHeight="true" outlineLevel="0" collapsed="false">
      <c r="A10" s="5" t="s">
        <v>253</v>
      </c>
      <c r="B10" s="5" t="s">
        <v>254</v>
      </c>
      <c r="C10" s="5" t="s">
        <v>255</v>
      </c>
    </row>
    <row r="11" customFormat="false" ht="61.5" hidden="false" customHeight="true" outlineLevel="0" collapsed="false">
      <c r="A11" s="5" t="s">
        <v>256</v>
      </c>
      <c r="B11" s="5" t="s">
        <v>257</v>
      </c>
      <c r="C11" s="5" t="s">
        <v>258</v>
      </c>
    </row>
    <row r="12" customFormat="false" ht="61.5" hidden="false" customHeight="true" outlineLevel="0" collapsed="false">
      <c r="A12" s="5" t="s">
        <v>259</v>
      </c>
      <c r="B12" s="5" t="s">
        <v>260</v>
      </c>
      <c r="C12" s="5" t="s">
        <v>261</v>
      </c>
    </row>
    <row r="13" customFormat="false" ht="61.5" hidden="false" customHeight="true" outlineLevel="0" collapsed="false">
      <c r="A13" s="5" t="s">
        <v>262</v>
      </c>
      <c r="B13" s="5" t="s">
        <v>263</v>
      </c>
      <c r="C13" s="5" t="s">
        <v>264</v>
      </c>
    </row>
    <row r="14" customFormat="false" ht="61.5" hidden="false" customHeight="true" outlineLevel="0" collapsed="false">
      <c r="A14" s="5" t="s">
        <v>265</v>
      </c>
      <c r="B14" s="5" t="s">
        <v>266</v>
      </c>
      <c r="C14" s="5" t="s">
        <v>267</v>
      </c>
    </row>
    <row r="15" customFormat="false" ht="61.5" hidden="false" customHeight="true" outlineLevel="0" collapsed="false">
      <c r="A15" s="5" t="s">
        <v>268</v>
      </c>
      <c r="B15" s="5" t="s">
        <v>269</v>
      </c>
      <c r="C15" s="5" t="s">
        <v>270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70"/>
  </cols>
  <sheetData>
    <row r="1" customFormat="false" ht="16.15" hidden="false" customHeight="false" outlineLevel="0" collapsed="false">
      <c r="A1" s="1" t="s">
        <v>271</v>
      </c>
      <c r="B1" s="1"/>
      <c r="C1" s="1"/>
      <c r="D1" s="1"/>
    </row>
    <row r="3" customFormat="false" ht="15" hidden="false" customHeight="false" outlineLevel="0" collapsed="false">
      <c r="A3" s="4" t="s">
        <v>272</v>
      </c>
      <c r="B3" s="4" t="s">
        <v>273</v>
      </c>
      <c r="C3" s="4" t="s">
        <v>274</v>
      </c>
      <c r="D3" s="4" t="s">
        <v>275</v>
      </c>
    </row>
    <row r="4" customFormat="false" ht="15" hidden="false" customHeight="false" outlineLevel="0" collapsed="false">
      <c r="A4" s="5" t="s">
        <v>276</v>
      </c>
      <c r="B4" s="5" t="s">
        <v>277</v>
      </c>
      <c r="C4" s="5" t="s">
        <v>278</v>
      </c>
      <c r="D4" s="5" t="s">
        <v>279</v>
      </c>
    </row>
    <row r="5" customFormat="false" ht="22.35" hidden="false" customHeight="false" outlineLevel="0" collapsed="false">
      <c r="A5" s="5" t="s">
        <v>280</v>
      </c>
      <c r="B5" s="5" t="s">
        <v>277</v>
      </c>
      <c r="C5" s="5" t="s">
        <v>281</v>
      </c>
      <c r="D5" s="5" t="s">
        <v>282</v>
      </c>
    </row>
    <row r="6" customFormat="false" ht="15" hidden="false" customHeight="false" outlineLevel="0" collapsed="false">
      <c r="A6" s="5" t="s">
        <v>283</v>
      </c>
      <c r="B6" s="5" t="s">
        <v>277</v>
      </c>
      <c r="C6" s="5" t="s">
        <v>284</v>
      </c>
      <c r="D6" s="5" t="s">
        <v>285</v>
      </c>
    </row>
    <row r="7" customFormat="false" ht="15" hidden="false" customHeight="false" outlineLevel="0" collapsed="false">
      <c r="A7" s="5" t="s">
        <v>286</v>
      </c>
      <c r="B7" s="5" t="s">
        <v>277</v>
      </c>
      <c r="C7" s="5" t="s">
        <v>287</v>
      </c>
      <c r="D7" s="5" t="s">
        <v>279</v>
      </c>
    </row>
    <row r="8" customFormat="false" ht="22.35" hidden="false" customHeight="false" outlineLevel="0" collapsed="false">
      <c r="A8" s="5" t="s">
        <v>288</v>
      </c>
      <c r="B8" s="5" t="s">
        <v>277</v>
      </c>
      <c r="C8" s="5" t="s">
        <v>289</v>
      </c>
      <c r="D8" s="5" t="s">
        <v>282</v>
      </c>
    </row>
    <row r="9" customFormat="false" ht="22.35" hidden="false" customHeight="false" outlineLevel="0" collapsed="false">
      <c r="A9" s="5" t="s">
        <v>290</v>
      </c>
      <c r="B9" s="5" t="s">
        <v>277</v>
      </c>
      <c r="C9" s="5" t="s">
        <v>291</v>
      </c>
      <c r="D9" s="5" t="s">
        <v>292</v>
      </c>
    </row>
    <row r="10" customFormat="false" ht="15" hidden="false" customHeight="false" outlineLevel="0" collapsed="false">
      <c r="A10" s="5" t="s">
        <v>293</v>
      </c>
      <c r="B10" s="5" t="s">
        <v>294</v>
      </c>
      <c r="C10" s="5" t="s">
        <v>295</v>
      </c>
      <c r="D10" s="5" t="s">
        <v>296</v>
      </c>
    </row>
    <row r="11" customFormat="false" ht="15" hidden="false" customHeight="false" outlineLevel="0" collapsed="false">
      <c r="A11" s="5" t="s">
        <v>297</v>
      </c>
      <c r="B11" s="5" t="s">
        <v>294</v>
      </c>
      <c r="C11" s="5" t="s">
        <v>298</v>
      </c>
      <c r="D11" s="5"/>
    </row>
    <row r="12" customFormat="false" ht="22.35" hidden="false" customHeight="false" outlineLevel="0" collapsed="false">
      <c r="A12" s="5" t="s">
        <v>299</v>
      </c>
      <c r="B12" s="5" t="s">
        <v>294</v>
      </c>
      <c r="C12" s="5" t="s">
        <v>300</v>
      </c>
      <c r="D12" s="5" t="s">
        <v>301</v>
      </c>
    </row>
    <row r="13" customFormat="false" ht="15" hidden="false" customHeight="false" outlineLevel="0" collapsed="false">
      <c r="A13" s="5" t="s">
        <v>302</v>
      </c>
      <c r="B13" s="5" t="s">
        <v>294</v>
      </c>
      <c r="C13" s="5" t="s">
        <v>300</v>
      </c>
      <c r="D13" s="5" t="s">
        <v>303</v>
      </c>
    </row>
    <row r="14" customFormat="false" ht="15" hidden="false" customHeight="false" outlineLevel="0" collapsed="false">
      <c r="A14" s="5" t="s">
        <v>304</v>
      </c>
      <c r="B14" s="5" t="s">
        <v>294</v>
      </c>
      <c r="C14" s="5" t="s">
        <v>305</v>
      </c>
      <c r="D14" s="5" t="s">
        <v>306</v>
      </c>
    </row>
    <row r="15" customFormat="false" ht="15" hidden="false" customHeight="false" outlineLevel="0" collapsed="false">
      <c r="A15" s="5" t="s">
        <v>307</v>
      </c>
      <c r="B15" s="5" t="s">
        <v>308</v>
      </c>
      <c r="C15" s="5" t="s">
        <v>309</v>
      </c>
      <c r="D15" s="5"/>
    </row>
    <row r="16" customFormat="false" ht="15" hidden="false" customHeight="false" outlineLevel="0" collapsed="false">
      <c r="A16" s="5" t="s">
        <v>310</v>
      </c>
      <c r="B16" s="5" t="s">
        <v>308</v>
      </c>
      <c r="C16" s="5" t="s">
        <v>311</v>
      </c>
      <c r="D16" s="5"/>
    </row>
    <row r="17" customFormat="false" ht="15" hidden="false" customHeight="false" outlineLevel="0" collapsed="false">
      <c r="A17" s="5" t="s">
        <v>312</v>
      </c>
      <c r="B17" s="5" t="s">
        <v>308</v>
      </c>
      <c r="C17" s="5" t="s">
        <v>313</v>
      </c>
      <c r="D17" s="5" t="s">
        <v>314</v>
      </c>
    </row>
    <row r="18" customFormat="false" ht="22.35" hidden="false" customHeight="false" outlineLevel="0" collapsed="false">
      <c r="A18" s="5" t="s">
        <v>315</v>
      </c>
      <c r="B18" s="5" t="s">
        <v>308</v>
      </c>
      <c r="C18" s="5" t="s">
        <v>316</v>
      </c>
      <c r="D18" s="5"/>
    </row>
    <row r="19" customFormat="false" ht="15" hidden="false" customHeight="false" outlineLevel="0" collapsed="false">
      <c r="A19" s="5" t="s">
        <v>307</v>
      </c>
      <c r="B19" s="5" t="s">
        <v>317</v>
      </c>
      <c r="C19" s="5" t="s">
        <v>318</v>
      </c>
      <c r="D19" s="5"/>
    </row>
    <row r="20" customFormat="false" ht="15" hidden="false" customHeight="false" outlineLevel="0" collapsed="false">
      <c r="A20" s="5" t="s">
        <v>319</v>
      </c>
      <c r="B20" s="5" t="s">
        <v>317</v>
      </c>
      <c r="C20" s="5" t="s">
        <v>313</v>
      </c>
      <c r="D20" s="5" t="s">
        <v>320</v>
      </c>
    </row>
    <row r="21" customFormat="false" ht="15" hidden="false" customHeight="false" outlineLevel="0" collapsed="false">
      <c r="A21" s="5" t="s">
        <v>321</v>
      </c>
      <c r="B21" s="5" t="s">
        <v>317</v>
      </c>
      <c r="C21" s="5" t="s">
        <v>322</v>
      </c>
      <c r="D21" s="5"/>
    </row>
    <row r="22" customFormat="false" ht="15" hidden="false" customHeight="false" outlineLevel="0" collapsed="false">
      <c r="A22" s="5" t="s">
        <v>323</v>
      </c>
      <c r="B22" s="5" t="s">
        <v>317</v>
      </c>
      <c r="C22" s="5" t="s">
        <v>324</v>
      </c>
      <c r="D22" s="5"/>
    </row>
    <row r="23" customFormat="false" ht="22.35" hidden="false" customHeight="false" outlineLevel="0" collapsed="false">
      <c r="A23" s="5" t="s">
        <v>325</v>
      </c>
      <c r="B23" s="5" t="s">
        <v>326</v>
      </c>
      <c r="C23" s="5" t="s">
        <v>327</v>
      </c>
      <c r="D23" s="5"/>
    </row>
    <row r="24" customFormat="false" ht="15" hidden="false" customHeight="false" outlineLevel="0" collapsed="false">
      <c r="A24" s="5" t="s">
        <v>328</v>
      </c>
      <c r="B24" s="5" t="s">
        <v>326</v>
      </c>
      <c r="C24" s="5" t="s">
        <v>329</v>
      </c>
      <c r="D24" s="5"/>
    </row>
    <row r="25" customFormat="false" ht="15" hidden="false" customHeight="false" outlineLevel="0" collapsed="false">
      <c r="A25" s="5" t="s">
        <v>330</v>
      </c>
      <c r="B25" s="5" t="s">
        <v>326</v>
      </c>
      <c r="C25" s="5" t="s">
        <v>313</v>
      </c>
      <c r="D25" s="5" t="s">
        <v>331</v>
      </c>
    </row>
    <row r="26" customFormat="false" ht="15" hidden="false" customHeight="false" outlineLevel="0" collapsed="false">
      <c r="A26" s="5" t="s">
        <v>332</v>
      </c>
      <c r="B26" s="5" t="s">
        <v>326</v>
      </c>
      <c r="C26" s="5" t="s">
        <v>333</v>
      </c>
      <c r="D26" s="5"/>
    </row>
    <row r="27" customFormat="false" ht="15" hidden="false" customHeight="false" outlineLevel="0" collapsed="false">
      <c r="A27" s="5" t="s">
        <v>334</v>
      </c>
      <c r="B27" s="5" t="s">
        <v>277</v>
      </c>
      <c r="C27" s="8" t="s">
        <v>335</v>
      </c>
      <c r="D27" s="8" t="s">
        <v>336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0"/>
    <col collapsed="false" customWidth="true" hidden="false" outlineLevel="0" max="3" min="3" style="0" width="18"/>
    <col collapsed="false" customWidth="true" hidden="false" outlineLevel="0" max="4" min="4" style="0" width="50"/>
  </cols>
  <sheetData>
    <row r="1" customFormat="false" ht="16.15" hidden="false" customHeight="false" outlineLevel="0" collapsed="false">
      <c r="A1" s="1" t="s">
        <v>337</v>
      </c>
      <c r="B1" s="1"/>
      <c r="C1" s="1"/>
      <c r="D1" s="1"/>
    </row>
    <row r="3" customFormat="false" ht="15" hidden="false" customHeight="false" outlineLevel="0" collapsed="false">
      <c r="A3" s="4" t="s">
        <v>13</v>
      </c>
      <c r="B3" s="4" t="s">
        <v>338</v>
      </c>
      <c r="C3" s="4" t="s">
        <v>339</v>
      </c>
      <c r="D3" s="4" t="s">
        <v>340</v>
      </c>
    </row>
    <row r="4" customFormat="false" ht="15" hidden="false" customHeight="false" outlineLevel="0" collapsed="false">
      <c r="A4" s="5" t="n">
        <v>1</v>
      </c>
      <c r="B4" s="5" t="s">
        <v>341</v>
      </c>
      <c r="C4" s="8"/>
      <c r="D4" s="5"/>
    </row>
    <row r="5" customFormat="false" ht="15" hidden="false" customHeight="false" outlineLevel="0" collapsed="false">
      <c r="A5" s="5" t="n">
        <v>2</v>
      </c>
      <c r="B5" s="5" t="s">
        <v>342</v>
      </c>
      <c r="C5" s="8"/>
      <c r="D5" s="5"/>
    </row>
    <row r="6" customFormat="false" ht="15" hidden="false" customHeight="false" outlineLevel="0" collapsed="false">
      <c r="A6" s="5" t="n">
        <v>3</v>
      </c>
      <c r="B6" s="5" t="s">
        <v>343</v>
      </c>
      <c r="C6" s="8"/>
      <c r="D6" s="5"/>
    </row>
    <row r="7" customFormat="false" ht="15" hidden="false" customHeight="false" outlineLevel="0" collapsed="false">
      <c r="A7" s="5" t="n">
        <v>4</v>
      </c>
      <c r="B7" s="5" t="s">
        <v>344</v>
      </c>
      <c r="C7" s="8"/>
      <c r="D7" s="5"/>
    </row>
    <row r="8" customFormat="false" ht="15" hidden="false" customHeight="false" outlineLevel="0" collapsed="false">
      <c r="A8" s="5" t="n">
        <v>5</v>
      </c>
      <c r="B8" s="5" t="s">
        <v>345</v>
      </c>
      <c r="C8" s="8"/>
      <c r="D8" s="5"/>
    </row>
    <row r="9" customFormat="false" ht="15" hidden="false" customHeight="false" outlineLevel="0" collapsed="false">
      <c r="A9" s="5" t="n">
        <v>6</v>
      </c>
      <c r="B9" s="5" t="s">
        <v>346</v>
      </c>
      <c r="C9" s="8"/>
      <c r="D9" s="5"/>
    </row>
    <row r="10" customFormat="false" ht="22.35" hidden="false" customHeight="false" outlineLevel="0" collapsed="false">
      <c r="A10" s="5" t="n">
        <v>7</v>
      </c>
      <c r="B10" s="5" t="s">
        <v>347</v>
      </c>
      <c r="C10" s="8"/>
      <c r="D10" s="5"/>
    </row>
    <row r="11" customFormat="false" ht="15" hidden="false" customHeight="false" outlineLevel="0" collapsed="false">
      <c r="A11" s="5" t="n">
        <v>8</v>
      </c>
      <c r="B11" s="5" t="s">
        <v>348</v>
      </c>
      <c r="C11" s="8"/>
      <c r="D11" s="5"/>
    </row>
    <row r="12" customFormat="false" ht="15" hidden="false" customHeight="false" outlineLevel="0" collapsed="false">
      <c r="A12" s="5" t="n">
        <v>9</v>
      </c>
      <c r="B12" s="5" t="s">
        <v>349</v>
      </c>
      <c r="C12" s="8"/>
      <c r="D12" s="5"/>
    </row>
    <row r="13" customFormat="false" ht="15" hidden="false" customHeight="false" outlineLevel="0" collapsed="false">
      <c r="A13" s="5" t="n">
        <v>10</v>
      </c>
      <c r="B13" s="5" t="s">
        <v>350</v>
      </c>
      <c r="C13" s="8"/>
      <c r="D13" s="5"/>
    </row>
    <row r="14" customFormat="false" ht="15" hidden="false" customHeight="false" outlineLevel="0" collapsed="false">
      <c r="A14" s="5" t="n">
        <v>11</v>
      </c>
      <c r="B14" s="5" t="s">
        <v>351</v>
      </c>
      <c r="C14" s="8"/>
      <c r="D14" s="5"/>
    </row>
    <row r="15" customFormat="false" ht="15" hidden="false" customHeight="false" outlineLevel="0" collapsed="false">
      <c r="A15" s="5" t="n">
        <v>12</v>
      </c>
      <c r="B15" s="5" t="s">
        <v>352</v>
      </c>
      <c r="C15" s="8"/>
      <c r="D15" s="5"/>
    </row>
    <row r="16" customFormat="false" ht="32.8" hidden="false" customHeight="false" outlineLevel="0" collapsed="false">
      <c r="A16" s="5" t="n">
        <v>13</v>
      </c>
      <c r="B16" s="5" t="s">
        <v>353</v>
      </c>
      <c r="C16" s="8"/>
      <c r="D16" s="5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2026-10-10T15:44:18Z</dcterms:created>
  <dc:creator>openpyxl</dc:creator>
  <dc:description/>
  <dc:language>en-US</dc:language>
  <cp:lastModifiedBy/>
  <dcterms:modified xsi:type="dcterms:W3CDTF">2026-10-10T15:44:18Z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